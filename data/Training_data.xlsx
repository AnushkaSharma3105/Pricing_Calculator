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(Tata Teleservices)\My Tasks\"/>
    </mc:Choice>
  </mc:AlternateContent>
  <xr:revisionPtr revIDLastSave="0" documentId="8_{01D28259-BD88-4AB1-8401-D4DB426B983F}" xr6:coauthVersionLast="47" xr6:coauthVersionMax="47" xr10:uidLastSave="{00000000-0000-0000-0000-000000000000}"/>
  <bookViews>
    <workbookView xWindow="-108" yWindow="-108" windowWidth="23256" windowHeight="12456" xr2:uid="{100F3363-AE55-4137-BF17-E9A2CFF5821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6" i="1" l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<sst xmlns="http://schemas.openxmlformats.org/spreadsheetml/2006/main" count="400" uniqueCount="176">
  <si>
    <t>Service Type</t>
  </si>
  <si>
    <t>Flavour</t>
  </si>
  <si>
    <t xml:space="preserve">vCPU </t>
  </si>
  <si>
    <t>RAM (in GB)</t>
  </si>
  <si>
    <t>Root disk- Windows (in GB)</t>
  </si>
  <si>
    <t>Root disk- Other OS (in GB)</t>
  </si>
  <si>
    <t>Linux</t>
  </si>
  <si>
    <t>Windows</t>
  </si>
  <si>
    <t>SUSE- Linux</t>
  </si>
  <si>
    <t>SLES for SAP</t>
  </si>
  <si>
    <t>Redhat Enterprise Linux</t>
  </si>
  <si>
    <t>RHEL for SAP</t>
  </si>
  <si>
    <t>Hourly- ppu</t>
  </si>
  <si>
    <t>1 year Reserved</t>
  </si>
  <si>
    <t>3 Year Reserved</t>
  </si>
  <si>
    <t>Vayu Cloud- Open Stack</t>
  </si>
  <si>
    <t>A1</t>
  </si>
  <si>
    <t>A2</t>
  </si>
  <si>
    <t>A4</t>
  </si>
  <si>
    <t>A6</t>
  </si>
  <si>
    <t>A8</t>
  </si>
  <si>
    <t>A12</t>
  </si>
  <si>
    <t>A16</t>
  </si>
  <si>
    <t>A2H</t>
  </si>
  <si>
    <t>A4H</t>
  </si>
  <si>
    <t>B1</t>
  </si>
  <si>
    <t>B2</t>
  </si>
  <si>
    <t>B4</t>
  </si>
  <si>
    <t>B6</t>
  </si>
  <si>
    <t>B8</t>
  </si>
  <si>
    <t>B12</t>
  </si>
  <si>
    <t>B16</t>
  </si>
  <si>
    <t>B24</t>
  </si>
  <si>
    <t>B32</t>
  </si>
  <si>
    <t>B40</t>
  </si>
  <si>
    <t>B48</t>
  </si>
  <si>
    <t>B2H</t>
  </si>
  <si>
    <t>B4H</t>
  </si>
  <si>
    <t>B8H</t>
  </si>
  <si>
    <t>C4</t>
  </si>
  <si>
    <t>C8</t>
  </si>
  <si>
    <t>C12</t>
  </si>
  <si>
    <t>C24</t>
  </si>
  <si>
    <t>C40</t>
  </si>
  <si>
    <t>C48</t>
  </si>
  <si>
    <t>D1</t>
  </si>
  <si>
    <t>D2</t>
  </si>
  <si>
    <t>D4</t>
  </si>
  <si>
    <t>D6</t>
  </si>
  <si>
    <t>D8</t>
  </si>
  <si>
    <t>D12</t>
  </si>
  <si>
    <t>D16</t>
  </si>
  <si>
    <t>D24</t>
  </si>
  <si>
    <t>D32</t>
  </si>
  <si>
    <t>D40</t>
  </si>
  <si>
    <t>D64</t>
  </si>
  <si>
    <t>D4H</t>
  </si>
  <si>
    <t>D8H</t>
  </si>
  <si>
    <t>D16H</t>
  </si>
  <si>
    <t>D32H</t>
  </si>
  <si>
    <t>D40H</t>
  </si>
  <si>
    <t>D48H</t>
  </si>
  <si>
    <t>E4</t>
  </si>
  <si>
    <t>E8</t>
  </si>
  <si>
    <t>E12</t>
  </si>
  <si>
    <t>E24</t>
  </si>
  <si>
    <t>E40</t>
  </si>
  <si>
    <t>E48</t>
  </si>
  <si>
    <t>F1</t>
  </si>
  <si>
    <t>F2</t>
  </si>
  <si>
    <t>F4</t>
  </si>
  <si>
    <t>F6</t>
  </si>
  <si>
    <t>F8</t>
  </si>
  <si>
    <t>F12</t>
  </si>
  <si>
    <t>F16</t>
  </si>
  <si>
    <t>F24</t>
  </si>
  <si>
    <t>F32</t>
  </si>
  <si>
    <t>F40</t>
  </si>
  <si>
    <t>F48</t>
  </si>
  <si>
    <t>F64</t>
  </si>
  <si>
    <t>H1</t>
  </si>
  <si>
    <t>H2</t>
  </si>
  <si>
    <t>H4</t>
  </si>
  <si>
    <t>H6</t>
  </si>
  <si>
    <t>H8</t>
  </si>
  <si>
    <t>H12</t>
  </si>
  <si>
    <t>H16</t>
  </si>
  <si>
    <t>H24</t>
  </si>
  <si>
    <t>H32</t>
  </si>
  <si>
    <t>H36</t>
  </si>
  <si>
    <t>H40</t>
  </si>
  <si>
    <t>H64</t>
  </si>
  <si>
    <t>H8H</t>
  </si>
  <si>
    <t>H16H</t>
  </si>
  <si>
    <t>H32H</t>
  </si>
  <si>
    <t>H40H</t>
  </si>
  <si>
    <t>H48H</t>
  </si>
  <si>
    <t>J1</t>
  </si>
  <si>
    <t>J2</t>
  </si>
  <si>
    <t>J4</t>
  </si>
  <si>
    <t>J6</t>
  </si>
  <si>
    <t>J8</t>
  </si>
  <si>
    <t>J12</t>
  </si>
  <si>
    <t>J16</t>
  </si>
  <si>
    <t>J24</t>
  </si>
  <si>
    <t>J32</t>
  </si>
  <si>
    <t>J40</t>
  </si>
  <si>
    <t>L1</t>
  </si>
  <si>
    <t>L2</t>
  </si>
  <si>
    <t>L4</t>
  </si>
  <si>
    <t>L6</t>
  </si>
  <si>
    <t>L8</t>
  </si>
  <si>
    <t>L12</t>
  </si>
  <si>
    <t>L16</t>
  </si>
  <si>
    <t>L24</t>
  </si>
  <si>
    <t>L32</t>
  </si>
  <si>
    <t>L40</t>
  </si>
  <si>
    <t>N1</t>
  </si>
  <si>
    <t>N2</t>
  </si>
  <si>
    <t>N4</t>
  </si>
  <si>
    <t>N6</t>
  </si>
  <si>
    <t>N8</t>
  </si>
  <si>
    <t>N12</t>
  </si>
  <si>
    <t>N16</t>
  </si>
  <si>
    <t>N24</t>
  </si>
  <si>
    <t>N32</t>
  </si>
  <si>
    <t>N40</t>
  </si>
  <si>
    <t>P2</t>
  </si>
  <si>
    <t>P4</t>
  </si>
  <si>
    <t>P8</t>
  </si>
  <si>
    <t>P12</t>
  </si>
  <si>
    <t>P16</t>
  </si>
  <si>
    <t>P24</t>
  </si>
  <si>
    <t>P32</t>
  </si>
  <si>
    <t>P32H</t>
  </si>
  <si>
    <t>T12</t>
  </si>
  <si>
    <t>HANA Grid</t>
  </si>
  <si>
    <t>H16-S</t>
  </si>
  <si>
    <t>H24-S</t>
  </si>
  <si>
    <t>H32-S</t>
  </si>
  <si>
    <t>H36-S</t>
  </si>
  <si>
    <t>H40-S</t>
  </si>
  <si>
    <t>H48-S</t>
  </si>
  <si>
    <t>L8-S</t>
  </si>
  <si>
    <t>L12-S</t>
  </si>
  <si>
    <t>L16-S</t>
  </si>
  <si>
    <t>L24-S</t>
  </si>
  <si>
    <t>L32-S</t>
  </si>
  <si>
    <t>L40-S</t>
  </si>
  <si>
    <t>L48-S</t>
  </si>
  <si>
    <t>L64-S</t>
  </si>
  <si>
    <t>P8-S</t>
  </si>
  <si>
    <t>P12-S</t>
  </si>
  <si>
    <t>P16-S</t>
  </si>
  <si>
    <t>P24-S</t>
  </si>
  <si>
    <t>P32-S</t>
  </si>
  <si>
    <t>P48-S</t>
  </si>
  <si>
    <t>P64-S</t>
  </si>
  <si>
    <t>X4-S</t>
  </si>
  <si>
    <t>X6-S</t>
  </si>
  <si>
    <t>X8-S</t>
  </si>
  <si>
    <t>X16-S</t>
  </si>
  <si>
    <t>X32-S</t>
  </si>
  <si>
    <t>X64-S</t>
  </si>
  <si>
    <t>AF32-S</t>
  </si>
  <si>
    <t>AF64-S</t>
  </si>
  <si>
    <t>AJ4-S</t>
  </si>
  <si>
    <t>AJ8-S</t>
  </si>
  <si>
    <t>AJ16-S</t>
  </si>
  <si>
    <t>AJ24-S</t>
  </si>
  <si>
    <t>AJ32-S</t>
  </si>
  <si>
    <t>AJ40-S</t>
  </si>
  <si>
    <t>AJ64-S</t>
  </si>
  <si>
    <t>AR64-S</t>
  </si>
  <si>
    <t>AV64-S</t>
  </si>
  <si>
    <t>OLVM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</si>
</sst>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[$₹-4009]\ #,##0.00"/>
    <numFmt numFmtId="166" formatCode="[$₹-4009]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66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3" fillId="0" borderId="0" xfId="0" applyFont="1"/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9" borderId="11" xfId="0" applyFont="1" applyFill="1" applyBorder="1"/>
    <xf numFmtId="0" fontId="3" fillId="9" borderId="12" xfId="0" applyFont="1" applyFill="1" applyBorder="1"/>
    <xf numFmtId="0" fontId="3" fillId="9" borderId="13" xfId="0" applyFont="1" applyFill="1" applyBorder="1" applyProtection="1">
      <protection hidden="1"/>
    </xf>
    <xf numFmtId="165" fontId="3" fillId="10" borderId="11" xfId="1" applyNumberFormat="1" applyFont="1" applyFill="1" applyBorder="1" applyProtection="1">
      <protection hidden="1"/>
    </xf>
    <xf numFmtId="166" fontId="3" fillId="10" borderId="12" xfId="0" applyNumberFormat="1" applyFont="1" applyFill="1" applyBorder="1" applyProtection="1">
      <protection hidden="1"/>
    </xf>
    <xf numFmtId="165" fontId="3" fillId="11" borderId="11" xfId="1" applyNumberFormat="1" applyFont="1" applyFill="1" applyBorder="1" applyProtection="1">
      <protection hidden="1"/>
    </xf>
    <xf numFmtId="166" fontId="3" fillId="11" borderId="12" xfId="0" applyNumberFormat="1" applyFont="1" applyFill="1" applyBorder="1" applyProtection="1">
      <protection hidden="1"/>
    </xf>
    <xf numFmtId="165" fontId="3" fillId="12" borderId="11" xfId="1" applyNumberFormat="1" applyFont="1" applyFill="1" applyBorder="1" applyProtection="1">
      <protection hidden="1"/>
    </xf>
    <xf numFmtId="166" fontId="3" fillId="12" borderId="12" xfId="0" applyNumberFormat="1" applyFont="1" applyFill="1" applyBorder="1" applyProtection="1">
      <protection hidden="1"/>
    </xf>
    <xf numFmtId="165" fontId="3" fillId="13" borderId="11" xfId="1" applyNumberFormat="1" applyFont="1" applyFill="1" applyBorder="1" applyProtection="1">
      <protection hidden="1"/>
    </xf>
    <xf numFmtId="166" fontId="3" fillId="13" borderId="12" xfId="0" applyNumberFormat="1" applyFont="1" applyFill="1" applyBorder="1" applyProtection="1">
      <protection hidden="1"/>
    </xf>
    <xf numFmtId="165" fontId="3" fillId="14" borderId="11" xfId="1" applyNumberFormat="1" applyFont="1" applyFill="1" applyBorder="1" applyProtection="1">
      <protection hidden="1"/>
    </xf>
    <xf numFmtId="166" fontId="3" fillId="14" borderId="12" xfId="0" applyNumberFormat="1" applyFont="1" applyFill="1" applyBorder="1" applyProtection="1">
      <protection hidden="1"/>
    </xf>
    <xf numFmtId="165" fontId="3" fillId="9" borderId="11" xfId="1" applyNumberFormat="1" applyFont="1" applyFill="1" applyBorder="1" applyProtection="1">
      <protection hidden="1"/>
    </xf>
    <xf numFmtId="166" fontId="3" fillId="9" borderId="12" xfId="0" applyNumberFormat="1" applyFont="1" applyFill="1" applyBorder="1" applyProtection="1">
      <protection hidden="1"/>
    </xf>
    <xf numFmtId="0" fontId="3" fillId="9" borderId="6" xfId="0" applyFont="1" applyFill="1" applyBorder="1"/>
    <xf numFmtId="0" fontId="3" fillId="9" borderId="7" xfId="0" applyFont="1" applyFill="1" applyBorder="1"/>
    <xf numFmtId="0" fontId="3" fillId="9" borderId="8" xfId="0" applyFont="1" applyFill="1" applyBorder="1" applyProtection="1">
      <protection hidden="1"/>
    </xf>
    <xf numFmtId="165" fontId="3" fillId="10" borderId="6" xfId="1" applyNumberFormat="1" applyFont="1" applyFill="1" applyBorder="1" applyProtection="1">
      <protection hidden="1"/>
    </xf>
    <xf numFmtId="166" fontId="3" fillId="10" borderId="7" xfId="0" applyNumberFormat="1" applyFont="1" applyFill="1" applyBorder="1" applyProtection="1">
      <protection hidden="1"/>
    </xf>
    <xf numFmtId="165" fontId="3" fillId="11" borderId="6" xfId="1" applyNumberFormat="1" applyFont="1" applyFill="1" applyBorder="1" applyProtection="1">
      <protection hidden="1"/>
    </xf>
    <xf numFmtId="166" fontId="3" fillId="11" borderId="7" xfId="0" applyNumberFormat="1" applyFont="1" applyFill="1" applyBorder="1" applyProtection="1">
      <protection hidden="1"/>
    </xf>
    <xf numFmtId="165" fontId="3" fillId="12" borderId="6" xfId="1" applyNumberFormat="1" applyFont="1" applyFill="1" applyBorder="1" applyProtection="1">
      <protection hidden="1"/>
    </xf>
    <xf numFmtId="166" fontId="3" fillId="12" borderId="7" xfId="0" applyNumberFormat="1" applyFont="1" applyFill="1" applyBorder="1" applyProtection="1">
      <protection hidden="1"/>
    </xf>
    <xf numFmtId="165" fontId="3" fillId="13" borderId="6" xfId="1" applyNumberFormat="1" applyFont="1" applyFill="1" applyBorder="1" applyProtection="1">
      <protection hidden="1"/>
    </xf>
    <xf numFmtId="166" fontId="3" fillId="13" borderId="7" xfId="0" applyNumberFormat="1" applyFont="1" applyFill="1" applyBorder="1" applyProtection="1">
      <protection hidden="1"/>
    </xf>
    <xf numFmtId="165" fontId="3" fillId="14" borderId="6" xfId="1" applyNumberFormat="1" applyFont="1" applyFill="1" applyBorder="1" applyProtection="1">
      <protection hidden="1"/>
    </xf>
    <xf numFmtId="166" fontId="3" fillId="14" borderId="7" xfId="0" applyNumberFormat="1" applyFont="1" applyFill="1" applyBorder="1" applyProtection="1">
      <protection hidden="1"/>
    </xf>
    <xf numFmtId="165" fontId="3" fillId="9" borderId="6" xfId="1" applyNumberFormat="1" applyFont="1" applyFill="1" applyBorder="1" applyProtection="1">
      <protection hidden="1"/>
    </xf>
    <xf numFmtId="166" fontId="3" fillId="9" borderId="7" xfId="0" applyNumberFormat="1" applyFont="1" applyFill="1" applyBorder="1" applyProtection="1">
      <protection hidden="1"/>
    </xf>
    <xf numFmtId="166" fontId="3" fillId="10" borderId="11" xfId="1" applyNumberFormat="1" applyFont="1" applyFill="1" applyBorder="1" applyProtection="1">
      <protection hidden="1"/>
    </xf>
    <xf numFmtId="166" fontId="3" fillId="10" borderId="6" xfId="1" applyNumberFormat="1" applyFont="1" applyFill="1" applyBorder="1" applyProtection="1">
      <protection hidden="1"/>
    </xf>
    <xf numFmtId="166" fontId="3" fillId="11" borderId="11" xfId="1" applyNumberFormat="1" applyFont="1" applyFill="1" applyBorder="1" applyProtection="1">
      <protection hidden="1"/>
    </xf>
    <xf numFmtId="166" fontId="3" fillId="11" borderId="6" xfId="1" applyNumberFormat="1" applyFont="1" applyFill="1" applyBorder="1" applyProtection="1">
      <protection hidden="1"/>
    </xf>
    <xf numFmtId="166" fontId="3" fillId="12" borderId="11" xfId="1" applyNumberFormat="1" applyFont="1" applyFill="1" applyBorder="1" applyProtection="1">
      <protection hidden="1"/>
    </xf>
    <xf numFmtId="166" fontId="3" fillId="12" borderId="13" xfId="0" applyNumberFormat="1" applyFont="1" applyFill="1" applyBorder="1" applyProtection="1">
      <protection hidden="1"/>
    </xf>
    <xf numFmtId="166" fontId="3" fillId="12" borderId="6" xfId="1" applyNumberFormat="1" applyFont="1" applyFill="1" applyBorder="1" applyProtection="1">
      <protection hidden="1"/>
    </xf>
    <xf numFmtId="166" fontId="3" fillId="12" borderId="8" xfId="0" applyNumberFormat="1" applyFont="1" applyFill="1" applyBorder="1" applyProtection="1">
      <protection hidden="1"/>
    </xf>
    <xf numFmtId="0" fontId="3" fillId="9" borderId="11" xfId="0" applyFont="1" applyFill="1" applyBorder="1" applyProtection="1">
      <protection hidden="1"/>
    </xf>
    <xf numFmtId="0" fontId="3" fillId="9" borderId="12" xfId="0" applyFont="1" applyFill="1" applyBorder="1" applyProtection="1">
      <protection hidden="1"/>
    </xf>
    <xf numFmtId="166" fontId="3" fillId="10" borderId="13" xfId="0" applyNumberFormat="1" applyFont="1" applyFill="1" applyBorder="1" applyProtection="1">
      <protection hidden="1"/>
    </xf>
    <xf numFmtId="0" fontId="3" fillId="9" borderId="6" xfId="0" applyFont="1" applyFill="1" applyBorder="1" applyProtection="1">
      <protection hidden="1"/>
    </xf>
    <xf numFmtId="0" fontId="3" fillId="9" borderId="7" xfId="0" applyFont="1" applyFill="1" applyBorder="1" applyProtection="1">
      <protection hidden="1"/>
    </xf>
    <xf numFmtId="166" fontId="3" fillId="10" borderId="8" xfId="0" applyNumberFormat="1" applyFont="1" applyFill="1" applyBorder="1" applyProtection="1">
      <protection hidden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OQ%20Cloud%20calc/MASTER%20File-2.xlsm" TargetMode="External"/><Relationship Id="rId2" Type="http://schemas.openxmlformats.org/officeDocument/2006/relationships/externalLinkPath" Target="file:///D:\Internship%20(Tata%20Teleservices)\BOQ%20Cloud%20calc\MASTER%20File-2.xlsm" TargetMode="External"/><Relationship Id="rId1" Type="http://schemas.openxmlformats.org/officeDocument/2006/relationships/externalLinkPath" Target="/Internship%20(Tata%20Teleservices)/BOQ%20Cloud%20calc/MASTER%20File-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 Page"/>
      <sheetName val="Guidelines"/>
      <sheetName val="Home"/>
      <sheetName val="Standard Configuration"/>
      <sheetName val="Vayu Cloud Price List- India"/>
      <sheetName val="Hana Price List- India"/>
      <sheetName val="OLVM Price List- India"/>
      <sheetName val="Storage Pricing- India"/>
      <sheetName val="License Pricing"/>
      <sheetName val="Additional Configuration"/>
      <sheetName val="Connectivity Pricing"/>
      <sheetName val="Configuration Selector"/>
      <sheetName val="Kubernetes"/>
      <sheetName val="Vayu Pricing"/>
      <sheetName val="Vayu Margin analysis"/>
      <sheetName val="OLVM Margin Analysis"/>
      <sheetName val="OLVM Pricing"/>
      <sheetName val="Hana Margin analysis"/>
      <sheetName val="Hana Pricing"/>
      <sheetName val="Data Platform"/>
      <sheetName val="Price Engine"/>
      <sheetName val="Cost Elements"/>
      <sheetName val="Working Sheet"/>
      <sheetName val="Global List Price"/>
      <sheetName val="Constants"/>
      <sheetName val="Dump Sheet"/>
      <sheetName val="Internal Configuration"/>
      <sheetName val="Margin Analysis"/>
    </sheetNames>
    <sheetDataSet>
      <sheetData sheetId="0"/>
      <sheetData sheetId="1"/>
      <sheetData sheetId="2"/>
      <sheetData sheetId="3">
        <row r="5">
          <cell r="B5" t="str">
            <v>A1</v>
          </cell>
          <cell r="F5">
            <v>110</v>
          </cell>
        </row>
        <row r="6">
          <cell r="B6" t="str">
            <v>A2</v>
          </cell>
          <cell r="F6">
            <v>110</v>
          </cell>
        </row>
        <row r="7">
          <cell r="B7" t="str">
            <v>A4</v>
          </cell>
          <cell r="F7">
            <v>110</v>
          </cell>
        </row>
        <row r="8">
          <cell r="B8" t="str">
            <v>A6</v>
          </cell>
          <cell r="F8">
            <v>110</v>
          </cell>
        </row>
        <row r="9">
          <cell r="B9" t="str">
            <v>A8</v>
          </cell>
          <cell r="F9">
            <v>120</v>
          </cell>
        </row>
        <row r="10">
          <cell r="B10" t="str">
            <v>A12</v>
          </cell>
          <cell r="F10">
            <v>130</v>
          </cell>
        </row>
        <row r="11">
          <cell r="B11" t="str">
            <v>A16</v>
          </cell>
          <cell r="F11">
            <v>120</v>
          </cell>
        </row>
        <row r="12">
          <cell r="B12" t="str">
            <v>A2H</v>
          </cell>
          <cell r="F12">
            <v>110</v>
          </cell>
        </row>
        <row r="13">
          <cell r="B13" t="str">
            <v>A4H</v>
          </cell>
          <cell r="F13">
            <v>110</v>
          </cell>
        </row>
        <row r="14">
          <cell r="B14" t="str">
            <v>B-Series</v>
          </cell>
        </row>
        <row r="15">
          <cell r="B15" t="str">
            <v>B1</v>
          </cell>
          <cell r="F15">
            <v>110</v>
          </cell>
        </row>
        <row r="16">
          <cell r="B16" t="str">
            <v>B2</v>
          </cell>
          <cell r="F16">
            <v>110</v>
          </cell>
        </row>
        <row r="17">
          <cell r="B17" t="str">
            <v>B4</v>
          </cell>
          <cell r="F17">
            <v>120</v>
          </cell>
        </row>
        <row r="18">
          <cell r="B18" t="str">
            <v>B6</v>
          </cell>
          <cell r="F18">
            <v>120</v>
          </cell>
        </row>
        <row r="19">
          <cell r="B19" t="str">
            <v>B8</v>
          </cell>
          <cell r="F19">
            <v>130</v>
          </cell>
        </row>
        <row r="20">
          <cell r="B20" t="str">
            <v>B12</v>
          </cell>
          <cell r="F20">
            <v>150</v>
          </cell>
        </row>
        <row r="21">
          <cell r="B21" t="str">
            <v>B16</v>
          </cell>
          <cell r="F21">
            <v>190</v>
          </cell>
        </row>
        <row r="22">
          <cell r="B22" t="str">
            <v>B24</v>
          </cell>
          <cell r="F22">
            <v>140</v>
          </cell>
        </row>
        <row r="23">
          <cell r="B23" t="str">
            <v>B32</v>
          </cell>
          <cell r="F23">
            <v>170</v>
          </cell>
        </row>
        <row r="24">
          <cell r="B24" t="str">
            <v>B40</v>
          </cell>
          <cell r="F24">
            <v>220</v>
          </cell>
        </row>
        <row r="25">
          <cell r="B25" t="str">
            <v>B48</v>
          </cell>
          <cell r="F25">
            <v>240</v>
          </cell>
        </row>
        <row r="26">
          <cell r="B26" t="str">
            <v>B2H</v>
          </cell>
          <cell r="F26">
            <v>110</v>
          </cell>
        </row>
        <row r="27">
          <cell r="B27" t="str">
            <v>B4H</v>
          </cell>
          <cell r="F27">
            <v>120</v>
          </cell>
        </row>
        <row r="28">
          <cell r="B28" t="str">
            <v>B8H</v>
          </cell>
          <cell r="F28">
            <v>130</v>
          </cell>
        </row>
        <row r="29">
          <cell r="B29" t="str">
            <v>C-Series</v>
          </cell>
        </row>
        <row r="30">
          <cell r="B30" t="str">
            <v>C4</v>
          </cell>
          <cell r="F30">
            <v>120</v>
          </cell>
        </row>
        <row r="31">
          <cell r="B31" t="str">
            <v>C8</v>
          </cell>
          <cell r="F31">
            <v>140</v>
          </cell>
        </row>
        <row r="32">
          <cell r="B32" t="str">
            <v>C12</v>
          </cell>
          <cell r="F32">
            <v>160</v>
          </cell>
        </row>
        <row r="33">
          <cell r="B33" t="str">
            <v>C24</v>
          </cell>
          <cell r="F33">
            <v>210</v>
          </cell>
        </row>
        <row r="34">
          <cell r="B34" t="str">
            <v>C40</v>
          </cell>
          <cell r="F34">
            <v>270</v>
          </cell>
        </row>
        <row r="35">
          <cell r="B35" t="str">
            <v>C48</v>
          </cell>
          <cell r="F35">
            <v>310</v>
          </cell>
        </row>
        <row r="36">
          <cell r="B36" t="str">
            <v>D-Series</v>
          </cell>
        </row>
        <row r="37">
          <cell r="B37" t="str">
            <v>D1</v>
          </cell>
          <cell r="F37">
            <v>110</v>
          </cell>
        </row>
        <row r="38">
          <cell r="B38" t="str">
            <v>D2</v>
          </cell>
          <cell r="F38">
            <v>120</v>
          </cell>
        </row>
        <row r="39">
          <cell r="B39" t="str">
            <v>D4</v>
          </cell>
          <cell r="F39">
            <v>130</v>
          </cell>
        </row>
        <row r="40">
          <cell r="B40" t="str">
            <v>D6</v>
          </cell>
          <cell r="F40">
            <v>140</v>
          </cell>
        </row>
        <row r="41">
          <cell r="B41" t="str">
            <v>D8</v>
          </cell>
          <cell r="F41">
            <v>150</v>
          </cell>
        </row>
        <row r="42">
          <cell r="B42" t="str">
            <v>D12</v>
          </cell>
          <cell r="F42">
            <v>170</v>
          </cell>
        </row>
        <row r="43">
          <cell r="B43" t="str">
            <v>D16</v>
          </cell>
          <cell r="F43">
            <v>190</v>
          </cell>
        </row>
        <row r="44">
          <cell r="B44" t="str">
            <v>D24</v>
          </cell>
          <cell r="F44">
            <v>240</v>
          </cell>
        </row>
        <row r="45">
          <cell r="B45" t="str">
            <v>D32</v>
          </cell>
          <cell r="F45">
            <v>280</v>
          </cell>
        </row>
        <row r="46">
          <cell r="B46" t="str">
            <v>D40</v>
          </cell>
          <cell r="F46">
            <v>330</v>
          </cell>
        </row>
        <row r="47">
          <cell r="B47" t="str">
            <v>D64</v>
          </cell>
          <cell r="F47">
            <v>460</v>
          </cell>
        </row>
        <row r="48">
          <cell r="B48" t="str">
            <v>D4H</v>
          </cell>
          <cell r="F48">
            <v>130</v>
          </cell>
        </row>
        <row r="49">
          <cell r="B49" t="str">
            <v>D8H</v>
          </cell>
          <cell r="F49">
            <v>150</v>
          </cell>
        </row>
        <row r="50">
          <cell r="B50" t="str">
            <v>D16H</v>
          </cell>
          <cell r="F50">
            <v>190</v>
          </cell>
        </row>
        <row r="51">
          <cell r="B51" t="str">
            <v>D32H</v>
          </cell>
          <cell r="F51">
            <v>280</v>
          </cell>
        </row>
        <row r="52">
          <cell r="B52" t="str">
            <v>D40H</v>
          </cell>
          <cell r="F52">
            <v>330</v>
          </cell>
        </row>
        <row r="53">
          <cell r="B53" t="str">
            <v>D48H</v>
          </cell>
          <cell r="F53">
            <v>370</v>
          </cell>
        </row>
        <row r="54">
          <cell r="B54" t="str">
            <v>E-Series</v>
          </cell>
        </row>
        <row r="55">
          <cell r="B55" t="str">
            <v>E4</v>
          </cell>
          <cell r="F55">
            <v>130</v>
          </cell>
        </row>
        <row r="56">
          <cell r="B56" t="str">
            <v>E8</v>
          </cell>
          <cell r="F56">
            <v>160</v>
          </cell>
        </row>
        <row r="57">
          <cell r="B57" t="str">
            <v>E12</v>
          </cell>
          <cell r="F57">
            <v>190</v>
          </cell>
        </row>
        <row r="58">
          <cell r="B58" t="str">
            <v>E24</v>
          </cell>
          <cell r="F58">
            <v>270</v>
          </cell>
        </row>
        <row r="59">
          <cell r="B59" t="str">
            <v>E40</v>
          </cell>
          <cell r="F59">
            <v>380</v>
          </cell>
        </row>
        <row r="60">
          <cell r="B60" t="str">
            <v>E48</v>
          </cell>
          <cell r="F60">
            <v>440</v>
          </cell>
        </row>
        <row r="61">
          <cell r="B61" t="str">
            <v>F-Series</v>
          </cell>
        </row>
        <row r="62">
          <cell r="B62" t="str">
            <v>F1</v>
          </cell>
          <cell r="F62">
            <v>110</v>
          </cell>
        </row>
        <row r="63">
          <cell r="B63" t="str">
            <v>F2</v>
          </cell>
          <cell r="F63">
            <v>120</v>
          </cell>
        </row>
        <row r="64">
          <cell r="B64" t="str">
            <v>F4</v>
          </cell>
          <cell r="F64">
            <v>140</v>
          </cell>
        </row>
        <row r="65">
          <cell r="B65" t="str">
            <v>F6</v>
          </cell>
          <cell r="F65">
            <v>160</v>
          </cell>
        </row>
        <row r="66">
          <cell r="B66" t="str">
            <v>F8</v>
          </cell>
          <cell r="F66">
            <v>170</v>
          </cell>
        </row>
        <row r="67">
          <cell r="B67" t="str">
            <v>F12</v>
          </cell>
          <cell r="F67">
            <v>210</v>
          </cell>
        </row>
        <row r="68">
          <cell r="B68" t="str">
            <v>F16</v>
          </cell>
          <cell r="F68">
            <v>240</v>
          </cell>
        </row>
        <row r="69">
          <cell r="B69" t="str">
            <v>F24</v>
          </cell>
          <cell r="F69">
            <v>310</v>
          </cell>
        </row>
        <row r="70">
          <cell r="B70" t="str">
            <v>F32</v>
          </cell>
          <cell r="F70">
            <v>370</v>
          </cell>
        </row>
        <row r="71">
          <cell r="B71" t="str">
            <v>F40</v>
          </cell>
          <cell r="F71">
            <v>440</v>
          </cell>
        </row>
        <row r="72">
          <cell r="B72" t="str">
            <v>F48</v>
          </cell>
          <cell r="F72">
            <v>510</v>
          </cell>
        </row>
        <row r="73">
          <cell r="B73" t="str">
            <v>F64</v>
          </cell>
          <cell r="F73">
            <v>640</v>
          </cell>
        </row>
        <row r="74">
          <cell r="B74" t="str">
            <v>H-Series</v>
          </cell>
        </row>
        <row r="75">
          <cell r="B75" t="str">
            <v>H1</v>
          </cell>
          <cell r="F75">
            <v>120</v>
          </cell>
        </row>
        <row r="76">
          <cell r="B76" t="str">
            <v>H2</v>
          </cell>
          <cell r="F76">
            <v>130</v>
          </cell>
        </row>
        <row r="77">
          <cell r="B77" t="str">
            <v>H4</v>
          </cell>
          <cell r="F77">
            <v>150</v>
          </cell>
        </row>
        <row r="78">
          <cell r="B78" t="str">
            <v>H6</v>
          </cell>
          <cell r="F78">
            <v>170</v>
          </cell>
        </row>
        <row r="79">
          <cell r="B79" t="str">
            <v>H8</v>
          </cell>
          <cell r="F79">
            <v>190</v>
          </cell>
        </row>
        <row r="80">
          <cell r="B80" t="str">
            <v>H12</v>
          </cell>
          <cell r="F80">
            <v>240</v>
          </cell>
        </row>
        <row r="81">
          <cell r="B81" t="str">
            <v>H16</v>
          </cell>
          <cell r="F81">
            <v>280</v>
          </cell>
        </row>
        <row r="82">
          <cell r="B82" t="str">
            <v>H24</v>
          </cell>
          <cell r="F82">
            <v>370</v>
          </cell>
        </row>
        <row r="83">
          <cell r="B83" t="str">
            <v>H32</v>
          </cell>
          <cell r="F83">
            <v>460</v>
          </cell>
        </row>
        <row r="84">
          <cell r="B84" t="str">
            <v>H36</v>
          </cell>
          <cell r="F84">
            <v>510</v>
          </cell>
        </row>
        <row r="85">
          <cell r="B85" t="str">
            <v>H40</v>
          </cell>
          <cell r="F85">
            <v>550</v>
          </cell>
        </row>
        <row r="86">
          <cell r="B86" t="str">
            <v>H64</v>
          </cell>
          <cell r="F86">
            <v>820</v>
          </cell>
        </row>
        <row r="87">
          <cell r="B87" t="str">
            <v>H8H</v>
          </cell>
          <cell r="F87">
            <v>190</v>
          </cell>
        </row>
        <row r="88">
          <cell r="B88" t="str">
            <v>H16H</v>
          </cell>
          <cell r="F88">
            <v>280</v>
          </cell>
        </row>
        <row r="89">
          <cell r="B89" t="str">
            <v>H32H</v>
          </cell>
          <cell r="F89">
            <v>460</v>
          </cell>
        </row>
        <row r="90">
          <cell r="B90" t="str">
            <v>H40H</v>
          </cell>
          <cell r="F90">
            <v>550</v>
          </cell>
        </row>
        <row r="91">
          <cell r="B91" t="str">
            <v>H48H</v>
          </cell>
          <cell r="F91">
            <v>640</v>
          </cell>
        </row>
        <row r="92">
          <cell r="B92" t="str">
            <v>J-Series</v>
          </cell>
        </row>
        <row r="93">
          <cell r="B93" t="str">
            <v>J1</v>
          </cell>
          <cell r="F93">
            <v>120</v>
          </cell>
        </row>
        <row r="94">
          <cell r="B94" t="str">
            <v>J2</v>
          </cell>
          <cell r="F94">
            <v>130</v>
          </cell>
        </row>
        <row r="95">
          <cell r="B95" t="str">
            <v>J4</v>
          </cell>
          <cell r="F95">
            <v>160</v>
          </cell>
        </row>
        <row r="96">
          <cell r="B96" t="str">
            <v>J6</v>
          </cell>
          <cell r="F96">
            <v>190</v>
          </cell>
        </row>
        <row r="97">
          <cell r="B97" t="str">
            <v>J8</v>
          </cell>
          <cell r="F97">
            <v>220</v>
          </cell>
        </row>
        <row r="98">
          <cell r="B98" t="str">
            <v>J12</v>
          </cell>
          <cell r="F98">
            <v>270</v>
          </cell>
        </row>
        <row r="99">
          <cell r="B99" t="str">
            <v>J16</v>
          </cell>
          <cell r="F99">
            <v>330</v>
          </cell>
        </row>
        <row r="100">
          <cell r="B100" t="str">
            <v>J24</v>
          </cell>
          <cell r="F100">
            <v>440</v>
          </cell>
        </row>
        <row r="101">
          <cell r="B101" t="str">
            <v>J32</v>
          </cell>
          <cell r="F101">
            <v>550</v>
          </cell>
        </row>
        <row r="102">
          <cell r="B102" t="str">
            <v>J40</v>
          </cell>
          <cell r="F102">
            <v>660</v>
          </cell>
        </row>
        <row r="103">
          <cell r="B103" t="str">
            <v>L-Series</v>
          </cell>
        </row>
        <row r="104">
          <cell r="B104" t="str">
            <v>L1</v>
          </cell>
          <cell r="F104">
            <v>120</v>
          </cell>
        </row>
        <row r="105">
          <cell r="B105" t="str">
            <v>L2</v>
          </cell>
          <cell r="F105">
            <v>140</v>
          </cell>
        </row>
        <row r="106">
          <cell r="B106" t="str">
            <v>L4</v>
          </cell>
          <cell r="F106">
            <v>170</v>
          </cell>
        </row>
        <row r="107">
          <cell r="B107" t="str">
            <v>L6</v>
          </cell>
          <cell r="F107">
            <v>210</v>
          </cell>
        </row>
        <row r="108">
          <cell r="B108" t="str">
            <v>L8</v>
          </cell>
          <cell r="F108">
            <v>240</v>
          </cell>
        </row>
        <row r="109">
          <cell r="B109" t="str">
            <v>L12</v>
          </cell>
          <cell r="F109">
            <v>310</v>
          </cell>
        </row>
        <row r="110">
          <cell r="B110" t="str">
            <v>L16</v>
          </cell>
          <cell r="F110">
            <v>370</v>
          </cell>
        </row>
        <row r="111">
          <cell r="B111" t="str">
            <v>L24</v>
          </cell>
          <cell r="F111">
            <v>510</v>
          </cell>
        </row>
        <row r="112">
          <cell r="B112" t="str">
            <v>L32</v>
          </cell>
          <cell r="F112">
            <v>640</v>
          </cell>
        </row>
        <row r="113">
          <cell r="B113" t="str">
            <v>L40</v>
          </cell>
          <cell r="F113">
            <v>780</v>
          </cell>
        </row>
        <row r="114">
          <cell r="B114" t="str">
            <v>N-Series</v>
          </cell>
        </row>
        <row r="115">
          <cell r="B115" t="str">
            <v>N1</v>
          </cell>
          <cell r="F115">
            <v>120</v>
          </cell>
        </row>
        <row r="116">
          <cell r="B116" t="str">
            <v>N2</v>
          </cell>
          <cell r="F116">
            <v>140</v>
          </cell>
        </row>
        <row r="117">
          <cell r="B117" t="str">
            <v>N4</v>
          </cell>
          <cell r="F117">
            <v>180</v>
          </cell>
        </row>
        <row r="118">
          <cell r="B118" t="str">
            <v>N6</v>
          </cell>
          <cell r="F118">
            <v>220</v>
          </cell>
        </row>
        <row r="119">
          <cell r="B119" t="str">
            <v>N8</v>
          </cell>
          <cell r="F119">
            <v>260</v>
          </cell>
        </row>
        <row r="120">
          <cell r="B120" t="str">
            <v>N12</v>
          </cell>
          <cell r="F120">
            <v>340</v>
          </cell>
        </row>
        <row r="121">
          <cell r="B121" t="str">
            <v>N16</v>
          </cell>
          <cell r="F121">
            <v>420</v>
          </cell>
        </row>
        <row r="122">
          <cell r="B122" t="str">
            <v>N24</v>
          </cell>
          <cell r="F122">
            <v>580</v>
          </cell>
        </row>
        <row r="123">
          <cell r="B123" t="str">
            <v>N32</v>
          </cell>
          <cell r="F123">
            <v>730</v>
          </cell>
        </row>
        <row r="124">
          <cell r="B124" t="str">
            <v>N40</v>
          </cell>
          <cell r="F124">
            <v>890</v>
          </cell>
        </row>
        <row r="125">
          <cell r="B125" t="str">
            <v>P-Series</v>
          </cell>
        </row>
        <row r="126">
          <cell r="B126" t="str">
            <v>P2</v>
          </cell>
          <cell r="F126">
            <v>150</v>
          </cell>
        </row>
        <row r="127">
          <cell r="B127" t="str">
            <v>P4</v>
          </cell>
          <cell r="F127">
            <v>190</v>
          </cell>
        </row>
        <row r="128">
          <cell r="B128" t="str">
            <v>P8</v>
          </cell>
          <cell r="F128">
            <v>280</v>
          </cell>
        </row>
        <row r="129">
          <cell r="B129" t="str">
            <v>P12</v>
          </cell>
          <cell r="F129">
            <v>370</v>
          </cell>
        </row>
        <row r="130">
          <cell r="B130" t="str">
            <v>P16</v>
          </cell>
          <cell r="F130">
            <v>460</v>
          </cell>
        </row>
        <row r="131">
          <cell r="B131" t="str">
            <v>P24</v>
          </cell>
          <cell r="F131">
            <v>640</v>
          </cell>
        </row>
        <row r="132">
          <cell r="B132" t="str">
            <v>P32</v>
          </cell>
          <cell r="F132">
            <v>820</v>
          </cell>
        </row>
        <row r="133">
          <cell r="B133" t="str">
            <v>P32H</v>
          </cell>
          <cell r="F133">
            <v>820</v>
          </cell>
        </row>
        <row r="134">
          <cell r="B134" t="str">
            <v>T-Series</v>
          </cell>
        </row>
        <row r="135">
          <cell r="B135" t="str">
            <v>T12</v>
          </cell>
          <cell r="F135">
            <v>440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7D05-69CF-4549-A708-689533832434}">
  <dimension ref="A4:X191"/>
  <sheetViews>
    <sheetView tabSelected="1" workbookViewId="0">
      <pane xSplit="1" ySplit="6" topLeftCell="D151" activePane="bottomRight" state="frozen"/>
      <selection pane="topRight" activeCell="B1" sqref="B1"/>
      <selection pane="bottomLeft" activeCell="A7" sqref="A7"/>
      <selection pane="bottomRight" activeCell="G6" sqref="A6:XFD6"/>
    </sheetView>
  </sheetViews>
  <sheetFormatPr defaultRowHeight="14.4" x14ac:dyDescent="0.3"/>
  <cols>
    <col min="1" max="1" width="21.44140625" bestFit="1" customWidth="1"/>
    <col min="2" max="2" width="7.5546875" bestFit="1" customWidth="1"/>
    <col min="3" max="3" width="6.44140625" bestFit="1" customWidth="1"/>
    <col min="4" max="4" width="11.77734375" bestFit="1" customWidth="1"/>
    <col min="5" max="5" width="17.77734375" customWidth="1"/>
    <col min="6" max="6" width="16.21875" customWidth="1"/>
    <col min="7" max="7" width="8.109375" bestFit="1" customWidth="1"/>
    <col min="8" max="9" width="9.6640625" bestFit="1" customWidth="1"/>
    <col min="10" max="10" width="8.109375" bestFit="1" customWidth="1"/>
    <col min="11" max="12" width="9.6640625" bestFit="1" customWidth="1"/>
    <col min="13" max="13" width="8.109375" bestFit="1" customWidth="1"/>
    <col min="14" max="15" width="9.6640625" bestFit="1" customWidth="1"/>
    <col min="16" max="16" width="8.109375" bestFit="1" customWidth="1"/>
    <col min="17" max="17" width="9.6640625" bestFit="1" customWidth="1"/>
    <col min="18" max="19" width="8.109375" bestFit="1" customWidth="1"/>
    <col min="20" max="21" width="9.6640625" bestFit="1" customWidth="1"/>
    <col min="22" max="22" width="8.109375" bestFit="1" customWidth="1"/>
    <col min="23" max="24" width="9.6640625" bestFit="1" customWidth="1"/>
  </cols>
  <sheetData>
    <row r="4" spans="1:24" ht="15" thickBot="1" x14ac:dyDescent="0.35"/>
    <row r="5" spans="1:24" s="18" customFormat="1" ht="13.8" thickBot="1" x14ac:dyDescent="0.3">
      <c r="A5" s="1" t="s">
        <v>0</v>
      </c>
      <c r="B5" s="2" t="s">
        <v>1</v>
      </c>
      <c r="C5" s="3" t="s">
        <v>2</v>
      </c>
      <c r="D5" s="3" t="s">
        <v>3</v>
      </c>
      <c r="E5" s="4" t="s">
        <v>4</v>
      </c>
      <c r="F5" s="5" t="s">
        <v>5</v>
      </c>
      <c r="G5" s="6" t="s">
        <v>6</v>
      </c>
      <c r="H5" s="7"/>
      <c r="I5" s="7"/>
      <c r="J5" s="8" t="s">
        <v>7</v>
      </c>
      <c r="K5" s="9"/>
      <c r="L5" s="9"/>
      <c r="M5" s="10" t="s">
        <v>8</v>
      </c>
      <c r="N5" s="11"/>
      <c r="O5" s="11"/>
      <c r="P5" s="12" t="s">
        <v>9</v>
      </c>
      <c r="Q5" s="13"/>
      <c r="R5" s="13"/>
      <c r="S5" s="14" t="s">
        <v>10</v>
      </c>
      <c r="T5" s="15"/>
      <c r="U5" s="15"/>
      <c r="V5" s="16" t="s">
        <v>11</v>
      </c>
      <c r="W5" s="17"/>
      <c r="X5" s="17"/>
    </row>
    <row r="6" spans="1:24" s="82" customFormat="1" ht="40.200000000000003" thickBot="1" x14ac:dyDescent="0.35">
      <c r="A6" s="19"/>
      <c r="B6" s="20"/>
      <c r="C6" s="21"/>
      <c r="D6" s="21"/>
      <c r="E6" s="22"/>
      <c r="F6" s="23"/>
      <c r="G6" s="68" t="s">
        <v>12</v>
      </c>
      <c r="H6" s="69" t="s">
        <v>13</v>
      </c>
      <c r="I6" s="69" t="s">
        <v>14</v>
      </c>
      <c r="J6" s="70" t="s">
        <v>12</v>
      </c>
      <c r="K6" s="71" t="s">
        <v>13</v>
      </c>
      <c r="L6" s="71" t="s">
        <v>14</v>
      </c>
      <c r="M6" s="72" t="s">
        <v>12</v>
      </c>
      <c r="N6" s="73" t="s">
        <v>13</v>
      </c>
      <c r="O6" s="73" t="s">
        <v>14</v>
      </c>
      <c r="P6" s="74" t="s">
        <v>12</v>
      </c>
      <c r="Q6" s="75" t="s">
        <v>13</v>
      </c>
      <c r="R6" s="76" t="s">
        <v>14</v>
      </c>
      <c r="S6" s="77" t="s">
        <v>12</v>
      </c>
      <c r="T6" s="78" t="s">
        <v>13</v>
      </c>
      <c r="U6" s="78" t="s">
        <v>14</v>
      </c>
      <c r="V6" s="79" t="s">
        <v>12</v>
      </c>
      <c r="W6" s="80" t="s">
        <v>13</v>
      </c>
      <c r="X6" s="81" t="s">
        <v>14</v>
      </c>
    </row>
    <row r="7" spans="1:24" x14ac:dyDescent="0.3">
      <c r="A7" s="24" t="s">
        <v>15</v>
      </c>
      <c r="B7" s="25" t="s">
        <v>16</v>
      </c>
      <c r="C7" s="25">
        <v>1</v>
      </c>
      <c r="D7" s="25">
        <v>1</v>
      </c>
      <c r="E7" s="25">
        <f>_xlfn.XLOOKUP(B7,'[1]Standard Configuration'!$B$5:$B$135,'[1]Standard Configuration'!$F$5:$F$135)</f>
        <v>110</v>
      </c>
      <c r="F7" s="26">
        <v>60</v>
      </c>
      <c r="G7" s="27">
        <v>0.88490866506283561</v>
      </c>
      <c r="H7" s="28">
        <v>465.10799435702643</v>
      </c>
      <c r="I7" s="28">
        <v>401.41809797881422</v>
      </c>
      <c r="J7" s="29">
        <v>2.7485681293159199</v>
      </c>
      <c r="K7" s="30">
        <v>1444.6474087684473</v>
      </c>
      <c r="L7" s="30">
        <v>1278.7530534325033</v>
      </c>
      <c r="M7" s="31">
        <v>7.9980587832661483</v>
      </c>
      <c r="N7" s="32">
        <v>4203.7796964846875</v>
      </c>
      <c r="O7" s="32">
        <v>3780.2642518249672</v>
      </c>
      <c r="P7" s="33">
        <v>24.487450036221233</v>
      </c>
      <c r="Q7" s="34">
        <v>12870.603739037879</v>
      </c>
      <c r="R7" s="34">
        <v>11612.956559517275</v>
      </c>
      <c r="S7" s="35">
        <v>3.4158460173086986</v>
      </c>
      <c r="T7" s="36">
        <v>1795.3686666974518</v>
      </c>
      <c r="U7" s="36">
        <v>1603.6488672095834</v>
      </c>
      <c r="V7" s="37">
        <v>4.5446385705001893</v>
      </c>
      <c r="W7" s="38">
        <v>2388.6620326548991</v>
      </c>
      <c r="X7" s="38">
        <v>2139.841174901891</v>
      </c>
    </row>
    <row r="8" spans="1:24" x14ac:dyDescent="0.3">
      <c r="A8" s="24" t="s">
        <v>15</v>
      </c>
      <c r="B8" s="25" t="s">
        <v>17</v>
      </c>
      <c r="C8" s="25">
        <v>2</v>
      </c>
      <c r="D8" s="25">
        <v>2</v>
      </c>
      <c r="E8" s="25">
        <f>_xlfn.XLOOKUP(B8,'[1]Standard Configuration'!$B$5:$B$135,'[1]Standard Configuration'!$F$5:$F$135)</f>
        <v>110</v>
      </c>
      <c r="F8" s="26">
        <v>60</v>
      </c>
      <c r="G8" s="27">
        <v>1.5253420073009301</v>
      </c>
      <c r="H8" s="28">
        <v>801.71975903736882</v>
      </c>
      <c r="I8" s="28">
        <v>696.22232633627846</v>
      </c>
      <c r="J8" s="29">
        <v>3.9727149910575594</v>
      </c>
      <c r="K8" s="30">
        <v>2088.0589992998534</v>
      </c>
      <c r="L8" s="30">
        <v>1850.8293971745829</v>
      </c>
      <c r="M8" s="31">
        <v>8.6384921255042428</v>
      </c>
      <c r="N8" s="32">
        <v>4540.3914611650298</v>
      </c>
      <c r="O8" s="32">
        <v>4075.0684801824318</v>
      </c>
      <c r="P8" s="33">
        <v>25.127883378459327</v>
      </c>
      <c r="Q8" s="34">
        <v>13207.215503718222</v>
      </c>
      <c r="R8" s="34">
        <v>11907.76078787474</v>
      </c>
      <c r="S8" s="35">
        <v>6.5872167117926557</v>
      </c>
      <c r="T8" s="36">
        <v>3462.2411037182192</v>
      </c>
      <c r="U8" s="36">
        <v>3100.683864797817</v>
      </c>
      <c r="V8" s="37">
        <v>8.844801818175636</v>
      </c>
      <c r="W8" s="38">
        <v>4648.827835633113</v>
      </c>
      <c r="X8" s="38">
        <v>4173.0684801824327</v>
      </c>
    </row>
    <row r="9" spans="1:24" x14ac:dyDescent="0.3">
      <c r="A9" s="24" t="s">
        <v>15</v>
      </c>
      <c r="B9" s="25" t="s">
        <v>18</v>
      </c>
      <c r="C9" s="25">
        <v>4</v>
      </c>
      <c r="D9" s="25">
        <v>4</v>
      </c>
      <c r="E9" s="25">
        <f>_xlfn.XLOOKUP(B9,'[1]Standard Configuration'!$B$5:$B$135,'[1]Standard Configuration'!$F$5:$F$135)</f>
        <v>110</v>
      </c>
      <c r="F9" s="26">
        <v>60</v>
      </c>
      <c r="G9" s="27">
        <v>2.8062086917771194</v>
      </c>
      <c r="H9" s="28">
        <v>1474.9432883980539</v>
      </c>
      <c r="I9" s="28">
        <v>1285.8307830512072</v>
      </c>
      <c r="J9" s="29">
        <v>6.421008714540843</v>
      </c>
      <c r="K9" s="30">
        <v>3374.8821803626665</v>
      </c>
      <c r="L9" s="30">
        <v>2994.9820846587422</v>
      </c>
      <c r="M9" s="31">
        <v>17.032508928183741</v>
      </c>
      <c r="N9" s="32">
        <v>8952.2866926533734</v>
      </c>
      <c r="O9" s="32">
        <v>8043.5230907435134</v>
      </c>
      <c r="P9" s="33">
        <v>50.01129143409392</v>
      </c>
      <c r="Q9" s="34">
        <v>26285.934777759765</v>
      </c>
      <c r="R9" s="34">
        <v>23708.907706128135</v>
      </c>
      <c r="S9" s="35">
        <v>12.929958100760569</v>
      </c>
      <c r="T9" s="36">
        <v>6795.9859777597549</v>
      </c>
      <c r="U9" s="36">
        <v>6094.7538599742857</v>
      </c>
      <c r="V9" s="37">
        <v>17.445128313526528</v>
      </c>
      <c r="W9" s="38">
        <v>9169.1594415895433</v>
      </c>
      <c r="X9" s="38">
        <v>8239.5230907435161</v>
      </c>
    </row>
    <row r="10" spans="1:24" x14ac:dyDescent="0.3">
      <c r="A10" s="24" t="s">
        <v>15</v>
      </c>
      <c r="B10" s="25" t="s">
        <v>19</v>
      </c>
      <c r="C10" s="25">
        <v>6</v>
      </c>
      <c r="D10" s="25">
        <v>6</v>
      </c>
      <c r="E10" s="25">
        <f>_xlfn.XLOOKUP(B10,'[1]Standard Configuration'!$B$5:$B$135,'[1]Standard Configuration'!$F$5:$F$135)</f>
        <v>110</v>
      </c>
      <c r="F10" s="26">
        <v>60</v>
      </c>
      <c r="G10" s="27">
        <v>4.0870753762533099</v>
      </c>
      <c r="H10" s="28">
        <v>2148.1668177587399</v>
      </c>
      <c r="I10" s="28">
        <v>1875.4392397661356</v>
      </c>
      <c r="J10" s="29">
        <v>8.8693024380241265</v>
      </c>
      <c r="K10" s="30">
        <v>4661.705361425481</v>
      </c>
      <c r="L10" s="30">
        <v>4139.1347721429029</v>
      </c>
      <c r="M10" s="31">
        <v>20.900343697766314</v>
      </c>
      <c r="N10" s="32">
        <v>10985.220647545973</v>
      </c>
      <c r="O10" s="32">
        <v>9861.9777013045968</v>
      </c>
      <c r="P10" s="33">
        <v>61.312104927080746</v>
      </c>
      <c r="Q10" s="34">
        <v>32225.642349673635</v>
      </c>
      <c r="R10" s="34">
        <v>29058.131547458444</v>
      </c>
      <c r="S10" s="35">
        <v>19.272699489728488</v>
      </c>
      <c r="T10" s="36">
        <v>10129.730851801292</v>
      </c>
      <c r="U10" s="36">
        <v>9088.8238551507511</v>
      </c>
      <c r="V10" s="37">
        <v>26.045454808877427</v>
      </c>
      <c r="W10" s="38">
        <v>13689.491047545975</v>
      </c>
      <c r="X10" s="38">
        <v>12305.977701304597</v>
      </c>
    </row>
    <row r="11" spans="1:24" x14ac:dyDescent="0.3">
      <c r="A11" s="24" t="s">
        <v>15</v>
      </c>
      <c r="B11" s="25" t="s">
        <v>20</v>
      </c>
      <c r="C11" s="25">
        <v>8</v>
      </c>
      <c r="D11" s="25">
        <v>8</v>
      </c>
      <c r="E11" s="25">
        <f>_xlfn.XLOOKUP(B11,'[1]Standard Configuration'!$B$5:$B$135,'[1]Standard Configuration'!$F$5:$F$135)</f>
        <v>120</v>
      </c>
      <c r="F11" s="26">
        <v>60</v>
      </c>
      <c r="G11" s="27">
        <v>5.367942060729499</v>
      </c>
      <c r="H11" s="28">
        <v>2821.3903471194244</v>
      </c>
      <c r="I11" s="28">
        <v>2465.0476964810641</v>
      </c>
      <c r="J11" s="29">
        <v>11.358342048644863</v>
      </c>
      <c r="K11" s="30">
        <v>5969.9445807677394</v>
      </c>
      <c r="L11" s="30">
        <v>5301.0564378972858</v>
      </c>
      <c r="M11" s="31">
        <v>22.181210382242501</v>
      </c>
      <c r="N11" s="32">
        <v>11658.444176906658</v>
      </c>
      <c r="O11" s="32">
        <v>10451.586158019525</v>
      </c>
      <c r="P11" s="33">
        <v>62.592971611556933</v>
      </c>
      <c r="Q11" s="34">
        <v>32898.865879034325</v>
      </c>
      <c r="R11" s="34">
        <v>29647.740004173374</v>
      </c>
      <c r="S11" s="35">
        <v>25.615440878696401</v>
      </c>
      <c r="T11" s="36">
        <v>13463.475725842827</v>
      </c>
      <c r="U11" s="36">
        <v>12082.893850327217</v>
      </c>
      <c r="V11" s="37">
        <v>34.645781304228315</v>
      </c>
      <c r="W11" s="38">
        <v>18209.822653502404</v>
      </c>
      <c r="X11" s="38">
        <v>16372.432311865679</v>
      </c>
    </row>
    <row r="12" spans="1:24" x14ac:dyDescent="0.3">
      <c r="A12" s="24" t="s">
        <v>15</v>
      </c>
      <c r="B12" s="25" t="s">
        <v>21</v>
      </c>
      <c r="C12" s="25">
        <v>12</v>
      </c>
      <c r="D12" s="25">
        <v>12</v>
      </c>
      <c r="E12" s="25">
        <f>_xlfn.XLOOKUP(B12,'[1]Standard Configuration'!$B$5:$B$135,'[1]Standard Configuration'!$F$5:$F$135)</f>
        <v>130</v>
      </c>
      <c r="F12" s="26">
        <v>70</v>
      </c>
      <c r="G12" s="27">
        <v>7.9704213168193343</v>
      </c>
      <c r="H12" s="28">
        <v>4189.2534441202424</v>
      </c>
      <c r="I12" s="28">
        <v>3662.033588181147</v>
      </c>
      <c r="J12" s="29">
        <v>16.254929495611428</v>
      </c>
      <c r="K12" s="30">
        <v>8543.5909428933664</v>
      </c>
      <c r="L12" s="30">
        <v>7589.3618128656044</v>
      </c>
      <c r="M12" s="31">
        <v>24.783689638332341</v>
      </c>
      <c r="N12" s="32">
        <v>13026.307273907478</v>
      </c>
      <c r="O12" s="32">
        <v>11648.572049719607</v>
      </c>
      <c r="P12" s="33">
        <v>65.19545086764677</v>
      </c>
      <c r="Q12" s="34">
        <v>34266.728976035134</v>
      </c>
      <c r="R12" s="34">
        <v>30844.725895873456</v>
      </c>
      <c r="S12" s="35">
        <v>30.747885855826436</v>
      </c>
      <c r="T12" s="36">
        <v>16161.088805822374</v>
      </c>
      <c r="U12" s="36">
        <v>14481.648972796531</v>
      </c>
      <c r="V12" s="37">
        <v>36.516460323911545</v>
      </c>
      <c r="W12" s="38">
        <v>19193.051546247909</v>
      </c>
      <c r="X12" s="38">
        <v>17221.802818950375</v>
      </c>
    </row>
    <row r="13" spans="1:24" x14ac:dyDescent="0.3">
      <c r="A13" s="24" t="s">
        <v>15</v>
      </c>
      <c r="B13" s="25" t="s">
        <v>22</v>
      </c>
      <c r="C13" s="25">
        <v>16</v>
      </c>
      <c r="D13" s="25">
        <v>16</v>
      </c>
      <c r="E13" s="25">
        <f>_xlfn.XLOOKUP(B13,'[1]Standard Configuration'!$B$5:$B$135,'[1]Standard Configuration'!$F$5:$F$135)</f>
        <v>120</v>
      </c>
      <c r="F13" s="26">
        <v>70</v>
      </c>
      <c r="G13" s="27">
        <v>10.532154685771713</v>
      </c>
      <c r="H13" s="28">
        <v>5535.7005028416115</v>
      </c>
      <c r="I13" s="28">
        <v>4841.2505016110035</v>
      </c>
      <c r="J13" s="29">
        <v>21.19226282971545</v>
      </c>
      <c r="K13" s="30">
        <v>11138.65334329844</v>
      </c>
      <c r="L13" s="30">
        <v>9895.4361661041494</v>
      </c>
      <c r="M13" s="31">
        <v>27.345423007284715</v>
      </c>
      <c r="N13" s="32">
        <v>14372.754332628845</v>
      </c>
      <c r="O13" s="32">
        <v>12827.788963149462</v>
      </c>
      <c r="P13" s="33">
        <v>67.757184236599144</v>
      </c>
      <c r="Q13" s="34">
        <v>35613.176034756507</v>
      </c>
      <c r="R13" s="34">
        <v>32023.942809303309</v>
      </c>
      <c r="S13" s="35">
        <v>40.90210740444784</v>
      </c>
      <c r="T13" s="36">
        <v>21498.147651777781</v>
      </c>
      <c r="U13" s="36">
        <v>19267.404347764852</v>
      </c>
      <c r="V13" s="37">
        <v>48.593540028561314</v>
      </c>
      <c r="W13" s="38">
        <v>25540.764639011828</v>
      </c>
      <c r="X13" s="38">
        <v>22920.942809303313</v>
      </c>
    </row>
    <row r="14" spans="1:24" x14ac:dyDescent="0.3">
      <c r="A14" s="24" t="s">
        <v>15</v>
      </c>
      <c r="B14" s="25" t="s">
        <v>23</v>
      </c>
      <c r="C14" s="25">
        <v>2</v>
      </c>
      <c r="D14" s="25">
        <v>2</v>
      </c>
      <c r="E14" s="25">
        <f>_xlfn.XLOOKUP(B14,'[1]Standard Configuration'!$B$5:$B$135,'[1]Standard Configuration'!$F$5:$F$135)</f>
        <v>110</v>
      </c>
      <c r="F14" s="26">
        <v>60</v>
      </c>
      <c r="G14" s="27">
        <v>5.137296486426969</v>
      </c>
      <c r="H14" s="28">
        <v>2700.1630332660143</v>
      </c>
      <c r="I14" s="28">
        <v>2358.8769429117679</v>
      </c>
      <c r="J14" s="29">
        <v>12.254377626211967</v>
      </c>
      <c r="K14" s="30">
        <v>6440.9008803370107</v>
      </c>
      <c r="L14" s="30">
        <v>5731.6609368269956</v>
      </c>
      <c r="M14" s="31">
        <v>12.250446604630278</v>
      </c>
      <c r="N14" s="32">
        <v>6438.8347353936742</v>
      </c>
      <c r="O14" s="32">
        <v>5737.7230967579217</v>
      </c>
      <c r="P14" s="33">
        <v>28.739837857585368</v>
      </c>
      <c r="Q14" s="34">
        <v>15105.658777946866</v>
      </c>
      <c r="R14" s="34">
        <v>13570.415404450228</v>
      </c>
      <c r="S14" s="35">
        <v>10.199171190918696</v>
      </c>
      <c r="T14" s="36">
        <v>5360.6843779468663</v>
      </c>
      <c r="U14" s="36">
        <v>4763.3384813733055</v>
      </c>
      <c r="V14" s="37">
        <v>12.456756297301675</v>
      </c>
      <c r="W14" s="38">
        <v>6547.2711098617601</v>
      </c>
      <c r="X14" s="38">
        <v>5835.7230967579226</v>
      </c>
    </row>
    <row r="15" spans="1:24" x14ac:dyDescent="0.3">
      <c r="A15" s="24" t="s">
        <v>15</v>
      </c>
      <c r="B15" s="25" t="s">
        <v>24</v>
      </c>
      <c r="C15" s="25">
        <v>4</v>
      </c>
      <c r="D15" s="25">
        <v>4</v>
      </c>
      <c r="E15" s="25">
        <f>_xlfn.XLOOKUP(B15,'[1]Standard Configuration'!$B$5:$B$135,'[1]Standard Configuration'!$F$5:$F$135)</f>
        <v>110</v>
      </c>
      <c r="F15" s="26">
        <v>60</v>
      </c>
      <c r="G15" s="27">
        <v>10.030117650029196</v>
      </c>
      <c r="H15" s="28">
        <v>5271.8298368553451</v>
      </c>
      <c r="I15" s="28">
        <v>4611.1400162021855</v>
      </c>
      <c r="J15" s="29">
        <v>22.984333984849659</v>
      </c>
      <c r="K15" s="30">
        <v>12080.565942436981</v>
      </c>
      <c r="L15" s="30">
        <v>10756.645163963565</v>
      </c>
      <c r="M15" s="31">
        <v>24.25641788643582</v>
      </c>
      <c r="N15" s="32">
        <v>12749.173241110666</v>
      </c>
      <c r="O15" s="32">
        <v>11368.832323894492</v>
      </c>
      <c r="P15" s="33">
        <v>57.235200392345995</v>
      </c>
      <c r="Q15" s="34">
        <v>30082.821326217054</v>
      </c>
      <c r="R15" s="34">
        <v>27034.216939279111</v>
      </c>
      <c r="S15" s="35">
        <v>20.153867059012644</v>
      </c>
      <c r="T15" s="36">
        <v>10592.872526217046</v>
      </c>
      <c r="U15" s="36">
        <v>9420.0630931252617</v>
      </c>
      <c r="V15" s="37">
        <v>24.669037271778606</v>
      </c>
      <c r="W15" s="38">
        <v>12966.045990046834</v>
      </c>
      <c r="X15" s="38">
        <v>11564.832323894494</v>
      </c>
    </row>
    <row r="16" spans="1:24" x14ac:dyDescent="0.3">
      <c r="A16" s="24" t="s">
        <v>15</v>
      </c>
      <c r="B16" s="25" t="s">
        <v>25</v>
      </c>
      <c r="C16" s="25">
        <v>1</v>
      </c>
      <c r="D16" s="25">
        <v>2</v>
      </c>
      <c r="E16" s="25">
        <f>_xlfn.XLOOKUP(B16,'[1]Standard Configuration'!$B$5:$B$135,'[1]Standard Configuration'!$F$5:$F$135)</f>
        <v>110</v>
      </c>
      <c r="F16" s="26">
        <v>60</v>
      </c>
      <c r="G16" s="27">
        <v>0.95208698767522315</v>
      </c>
      <c r="H16" s="28">
        <v>500.4169207220973</v>
      </c>
      <c r="I16" s="28">
        <v>432.34161843589089</v>
      </c>
      <c r="J16" s="29">
        <v>2.8157464519283075</v>
      </c>
      <c r="K16" s="30">
        <v>1479.9563351335182</v>
      </c>
      <c r="L16" s="30">
        <v>1309.6765738895797</v>
      </c>
      <c r="M16" s="31">
        <v>8.0652371058785359</v>
      </c>
      <c r="N16" s="32">
        <v>4239.0886228497575</v>
      </c>
      <c r="O16" s="32">
        <v>3811.1877722820445</v>
      </c>
      <c r="P16" s="33">
        <v>24.554628358833618</v>
      </c>
      <c r="Q16" s="34">
        <v>12905.912665402948</v>
      </c>
      <c r="R16" s="34">
        <v>11643.880079974353</v>
      </c>
      <c r="S16" s="35">
        <v>3.4830243399210867</v>
      </c>
      <c r="T16" s="36">
        <v>1830.6775930625231</v>
      </c>
      <c r="U16" s="36">
        <v>1634.5723876666596</v>
      </c>
      <c r="V16" s="37">
        <v>4.611816893112576</v>
      </c>
      <c r="W16" s="38">
        <v>2423.97095901997</v>
      </c>
      <c r="X16" s="38">
        <v>2170.7646953589679</v>
      </c>
    </row>
    <row r="17" spans="1:24" x14ac:dyDescent="0.3">
      <c r="A17" s="24" t="s">
        <v>15</v>
      </c>
      <c r="B17" s="25" t="s">
        <v>26</v>
      </c>
      <c r="C17" s="25">
        <v>2</v>
      </c>
      <c r="D17" s="25">
        <v>4</v>
      </c>
      <c r="E17" s="25">
        <f>_xlfn.XLOOKUP(B17,'[1]Standard Configuration'!$B$5:$B$135,'[1]Standard Configuration'!$F$5:$F$135)</f>
        <v>110</v>
      </c>
      <c r="F17" s="26">
        <v>60</v>
      </c>
      <c r="G17" s="27">
        <v>1.6596986525257051</v>
      </c>
      <c r="H17" s="28">
        <v>872.33761176751068</v>
      </c>
      <c r="I17" s="28">
        <v>758.0693672504317</v>
      </c>
      <c r="J17" s="29">
        <v>4.1070716362823356</v>
      </c>
      <c r="K17" s="30">
        <v>2158.6768520299956</v>
      </c>
      <c r="L17" s="30">
        <v>1912.6764380887362</v>
      </c>
      <c r="M17" s="31">
        <v>8.7728487707290181</v>
      </c>
      <c r="N17" s="32">
        <v>4611.0093138951715</v>
      </c>
      <c r="O17" s="32">
        <v>4136.9155210965855</v>
      </c>
      <c r="P17" s="33">
        <v>25.262240023684097</v>
      </c>
      <c r="Q17" s="34">
        <v>13277.83335644836</v>
      </c>
      <c r="R17" s="34">
        <v>11969.607828788894</v>
      </c>
      <c r="S17" s="35">
        <v>6.7215733570174319</v>
      </c>
      <c r="T17" s="36">
        <v>3532.8589564483623</v>
      </c>
      <c r="U17" s="36">
        <v>3162.5309057119694</v>
      </c>
      <c r="V17" s="37">
        <v>8.9791584634004113</v>
      </c>
      <c r="W17" s="38">
        <v>4719.4456883632565</v>
      </c>
      <c r="X17" s="38">
        <v>4234.9155210965864</v>
      </c>
    </row>
    <row r="18" spans="1:24" x14ac:dyDescent="0.3">
      <c r="A18" s="24" t="s">
        <v>15</v>
      </c>
      <c r="B18" s="25" t="s">
        <v>27</v>
      </c>
      <c r="C18" s="25">
        <v>4</v>
      </c>
      <c r="D18" s="25">
        <v>8</v>
      </c>
      <c r="E18" s="25">
        <f>_xlfn.XLOOKUP(B18,'[1]Standard Configuration'!$B$5:$B$135,'[1]Standard Configuration'!$F$5:$F$135)</f>
        <v>120</v>
      </c>
      <c r="F18" s="26">
        <v>60</v>
      </c>
      <c r="G18" s="27">
        <v>3.0749219822266696</v>
      </c>
      <c r="H18" s="28">
        <v>1616.1789938583374</v>
      </c>
      <c r="I18" s="28">
        <v>1409.5248648795136</v>
      </c>
      <c r="J18" s="29">
        <v>6.7304678921278498</v>
      </c>
      <c r="K18" s="30">
        <v>3537.5339241023976</v>
      </c>
      <c r="L18" s="30">
        <v>3136.4451447572742</v>
      </c>
      <c r="M18" s="31">
        <v>17.301222218633292</v>
      </c>
      <c r="N18" s="32">
        <v>9093.5223981136587</v>
      </c>
      <c r="O18" s="32">
        <v>8167.2171725718217</v>
      </c>
      <c r="P18" s="33">
        <v>50.280004724543467</v>
      </c>
      <c r="Q18" s="34">
        <v>26427.170483220045</v>
      </c>
      <c r="R18" s="34">
        <v>23832.601787956442</v>
      </c>
      <c r="S18" s="35">
        <v>13.198671391210119</v>
      </c>
      <c r="T18" s="36">
        <v>6937.2216832200384</v>
      </c>
      <c r="U18" s="36">
        <v>6218.4479418025903</v>
      </c>
      <c r="V18" s="37">
        <v>17.713841603976082</v>
      </c>
      <c r="W18" s="38">
        <v>9310.3951470498287</v>
      </c>
      <c r="X18" s="38">
        <v>8363.2171725718235</v>
      </c>
    </row>
    <row r="19" spans="1:24" x14ac:dyDescent="0.3">
      <c r="A19" s="24" t="s">
        <v>15</v>
      </c>
      <c r="B19" s="25" t="s">
        <v>28</v>
      </c>
      <c r="C19" s="25">
        <v>6</v>
      </c>
      <c r="D19" s="25">
        <v>12</v>
      </c>
      <c r="E19" s="25">
        <f>_xlfn.XLOOKUP(B19,'[1]Standard Configuration'!$B$5:$B$135,'[1]Standard Configuration'!$F$5:$F$135)</f>
        <v>120</v>
      </c>
      <c r="F19" s="26">
        <v>70</v>
      </c>
      <c r="G19" s="27">
        <v>4.530891199065092</v>
      </c>
      <c r="H19" s="28">
        <v>2381.4364142286122</v>
      </c>
      <c r="I19" s="28">
        <v>2078.7493407788206</v>
      </c>
      <c r="J19" s="29">
        <v>9.3131182608359087</v>
      </c>
      <c r="K19" s="30">
        <v>4894.9749578953542</v>
      </c>
      <c r="L19" s="30">
        <v>4342.4448731555867</v>
      </c>
      <c r="M19" s="31">
        <v>21.344159520578099</v>
      </c>
      <c r="N19" s="32">
        <v>11218.490244015848</v>
      </c>
      <c r="O19" s="32">
        <v>10065.287802317282</v>
      </c>
      <c r="P19" s="33">
        <v>61.755920749892525</v>
      </c>
      <c r="Q19" s="34">
        <v>32458.911946143508</v>
      </c>
      <c r="R19" s="34">
        <v>29261.441648471129</v>
      </c>
      <c r="S19" s="35">
        <v>19.71651531254027</v>
      </c>
      <c r="T19" s="36">
        <v>10363.000448271167</v>
      </c>
      <c r="U19" s="36">
        <v>9292.133956163434</v>
      </c>
      <c r="V19" s="37">
        <v>26.489270631689212</v>
      </c>
      <c r="W19" s="38">
        <v>13922.760644015851</v>
      </c>
      <c r="X19" s="38">
        <v>12509.287802317282</v>
      </c>
    </row>
    <row r="20" spans="1:24" x14ac:dyDescent="0.3">
      <c r="A20" s="24" t="s">
        <v>15</v>
      </c>
      <c r="B20" s="25" t="s">
        <v>29</v>
      </c>
      <c r="C20" s="25">
        <v>8</v>
      </c>
      <c r="D20" s="25">
        <v>16</v>
      </c>
      <c r="E20" s="25">
        <f>_xlfn.XLOOKUP(B20,'[1]Standard Configuration'!$B$5:$B$135,'[1]Standard Configuration'!$F$5:$F$135)</f>
        <v>130</v>
      </c>
      <c r="F20" s="26">
        <v>70</v>
      </c>
      <c r="G20" s="27">
        <v>5.9461145287660555</v>
      </c>
      <c r="H20" s="28">
        <v>3125.2777963194385</v>
      </c>
      <c r="I20" s="28">
        <v>2730.2048384079026</v>
      </c>
      <c r="J20" s="29">
        <v>11.93651451668142</v>
      </c>
      <c r="K20" s="30">
        <v>6273.8320299677553</v>
      </c>
      <c r="L20" s="30">
        <v>5566.2135798241243</v>
      </c>
      <c r="M20" s="31">
        <v>22.759382850279064</v>
      </c>
      <c r="N20" s="32">
        <v>11962.331626106676</v>
      </c>
      <c r="O20" s="32">
        <v>10716.743299946364</v>
      </c>
      <c r="P20" s="33">
        <v>63.171144079593496</v>
      </c>
      <c r="Q20" s="34">
        <v>33202.753328234343</v>
      </c>
      <c r="R20" s="34">
        <v>29912.897146100211</v>
      </c>
      <c r="S20" s="35">
        <v>26.19361334673296</v>
      </c>
      <c r="T20" s="36">
        <v>13767.363175042843</v>
      </c>
      <c r="U20" s="36">
        <v>12348.050992254053</v>
      </c>
      <c r="V20" s="37">
        <v>35.223953772264878</v>
      </c>
      <c r="W20" s="38">
        <v>18513.710102702422</v>
      </c>
      <c r="X20" s="38">
        <v>16637.58945379252</v>
      </c>
    </row>
    <row r="21" spans="1:24" x14ac:dyDescent="0.3">
      <c r="A21" s="24" t="s">
        <v>15</v>
      </c>
      <c r="B21" s="25" t="s">
        <v>30</v>
      </c>
      <c r="C21" s="25">
        <v>12</v>
      </c>
      <c r="D21" s="25">
        <v>24</v>
      </c>
      <c r="E21" s="25">
        <f>_xlfn.XLOOKUP(B21,'[1]Standard Configuration'!$B$5:$B$135,'[1]Standard Configuration'!$F$5:$F$135)</f>
        <v>150</v>
      </c>
      <c r="F21" s="26">
        <v>90</v>
      </c>
      <c r="G21" s="27">
        <v>8.8580529624428976</v>
      </c>
      <c r="H21" s="28">
        <v>4655.7926370599871</v>
      </c>
      <c r="I21" s="28">
        <v>4068.653790206517</v>
      </c>
      <c r="J21" s="29">
        <v>17.183307028372447</v>
      </c>
      <c r="K21" s="30">
        <v>9031.5461741125564</v>
      </c>
      <c r="L21" s="30">
        <v>8013.7509931612003</v>
      </c>
      <c r="M21" s="31">
        <v>25.671321283955905</v>
      </c>
      <c r="N21" s="32">
        <v>13492.846466847221</v>
      </c>
      <c r="O21" s="32">
        <v>12055.192251744978</v>
      </c>
      <c r="P21" s="33">
        <v>66.083082513270327</v>
      </c>
      <c r="Q21" s="34">
        <v>34733.268168974886</v>
      </c>
      <c r="R21" s="34">
        <v>31251.346097898819</v>
      </c>
      <c r="S21" s="35">
        <v>31.63551750145</v>
      </c>
      <c r="T21" s="36">
        <v>16627.627998762124</v>
      </c>
      <c r="U21" s="36">
        <v>14888.269174821902</v>
      </c>
      <c r="V21" s="37">
        <v>37.404091969535109</v>
      </c>
      <c r="W21" s="38">
        <v>19659.590739187654</v>
      </c>
      <c r="X21" s="38">
        <v>17628.423020975748</v>
      </c>
    </row>
    <row r="22" spans="1:24" x14ac:dyDescent="0.3">
      <c r="A22" s="24" t="s">
        <v>15</v>
      </c>
      <c r="B22" s="25" t="s">
        <v>31</v>
      </c>
      <c r="C22" s="25">
        <v>16</v>
      </c>
      <c r="D22" s="25">
        <v>32</v>
      </c>
      <c r="E22" s="25">
        <f>_xlfn.XLOOKUP(B22,'[1]Standard Configuration'!$B$5:$B$135,'[1]Standard Configuration'!$F$5:$F$135)</f>
        <v>190</v>
      </c>
      <c r="F22" s="26">
        <v>130</v>
      </c>
      <c r="G22" s="27">
        <v>11.851483170394655</v>
      </c>
      <c r="H22" s="28">
        <v>6229.1395543594299</v>
      </c>
      <c r="I22" s="28">
        <v>5442.6406985455806</v>
      </c>
      <c r="J22" s="29">
        <v>22.511591314338386</v>
      </c>
      <c r="K22" s="30">
        <v>11832.092394816254</v>
      </c>
      <c r="L22" s="30">
        <v>10496.826363038725</v>
      </c>
      <c r="M22" s="31">
        <v>28.664751491907655</v>
      </c>
      <c r="N22" s="32">
        <v>15066.193384146663</v>
      </c>
      <c r="O22" s="32">
        <v>13429.179160084037</v>
      </c>
      <c r="P22" s="33">
        <v>69.076512721222088</v>
      </c>
      <c r="Q22" s="34">
        <v>36306.615086274323</v>
      </c>
      <c r="R22" s="34">
        <v>32625.333006237888</v>
      </c>
      <c r="S22" s="35">
        <v>42.221435889070783</v>
      </c>
      <c r="T22" s="36">
        <v>22191.586703295601</v>
      </c>
      <c r="U22" s="36">
        <v>19868.794544699424</v>
      </c>
      <c r="V22" s="37">
        <v>49.912868513184257</v>
      </c>
      <c r="W22" s="38">
        <v>26234.203690529648</v>
      </c>
      <c r="X22" s="38">
        <v>23522.333006237885</v>
      </c>
    </row>
    <row r="23" spans="1:24" x14ac:dyDescent="0.3">
      <c r="A23" s="24" t="s">
        <v>15</v>
      </c>
      <c r="B23" s="25" t="s">
        <v>32</v>
      </c>
      <c r="C23" s="25">
        <v>24</v>
      </c>
      <c r="D23" s="25">
        <v>48</v>
      </c>
      <c r="E23" s="25">
        <f>_xlfn.XLOOKUP(B23,'[1]Standard Configuration'!$B$5:$B$135,'[1]Standard Configuration'!$F$5:$F$135)</f>
        <v>140</v>
      </c>
      <c r="F23" s="26">
        <v>80</v>
      </c>
      <c r="G23" s="27">
        <v>17.30864705351123</v>
      </c>
      <c r="H23" s="28">
        <v>9097.4248913255014</v>
      </c>
      <c r="I23" s="28">
        <v>7959.6177977107827</v>
      </c>
      <c r="J23" s="29">
        <v>32.638463353483338</v>
      </c>
      <c r="K23" s="30">
        <v>17154.77633859084</v>
      </c>
      <c r="L23" s="30">
        <v>15231.980385280851</v>
      </c>
      <c r="M23" s="31">
        <v>34.121915375024237</v>
      </c>
      <c r="N23" s="32">
        <v>17934.47872111274</v>
      </c>
      <c r="O23" s="32">
        <v>15946.156259249243</v>
      </c>
      <c r="P23" s="33">
        <v>74.533676604338652</v>
      </c>
      <c r="Q23" s="34">
        <v>39174.900423240397</v>
      </c>
      <c r="R23" s="34">
        <v>35142.310105403099</v>
      </c>
      <c r="S23" s="35">
        <v>62.863576131525427</v>
      </c>
      <c r="T23" s="36">
        <v>33041.095614729769</v>
      </c>
      <c r="U23" s="36">
        <v>29598.84856694156</v>
      </c>
      <c r="V23" s="37">
        <v>74.400725067695646</v>
      </c>
      <c r="W23" s="38">
        <v>39105.021095580829</v>
      </c>
      <c r="X23" s="38">
        <v>35079.156259249256</v>
      </c>
    </row>
    <row r="24" spans="1:24" x14ac:dyDescent="0.3">
      <c r="A24" s="24" t="s">
        <v>15</v>
      </c>
      <c r="B24" s="25" t="s">
        <v>33</v>
      </c>
      <c r="C24" s="25">
        <v>32</v>
      </c>
      <c r="D24" s="25">
        <v>64</v>
      </c>
      <c r="E24" s="25">
        <f>_xlfn.XLOOKUP(B24,'[1]Standard Configuration'!$B$5:$B$135,'[1]Standard Configuration'!$F$5:$F$135)</f>
        <v>170</v>
      </c>
      <c r="F24" s="26">
        <v>110</v>
      </c>
      <c r="G24" s="27">
        <v>35.707020514180321</v>
      </c>
      <c r="H24" s="28">
        <v>18767.609982253176</v>
      </c>
      <c r="I24" s="28">
        <v>16425.794201227298</v>
      </c>
      <c r="J24" s="29">
        <v>69.797594142757617</v>
      </c>
      <c r="K24" s="30">
        <v>36685.615481433408</v>
      </c>
      <c r="L24" s="30">
        <v>32609.77986572044</v>
      </c>
      <c r="M24" s="31">
        <v>52.520288835693329</v>
      </c>
      <c r="N24" s="32">
        <v>27604.66381204041</v>
      </c>
      <c r="O24" s="32">
        <v>24412.332662765759</v>
      </c>
      <c r="P24" s="33">
        <v>92.932050065007743</v>
      </c>
      <c r="Q24" s="34">
        <v>48845.085514168073</v>
      </c>
      <c r="R24" s="34">
        <v>43608.486508919603</v>
      </c>
      <c r="S24" s="35">
        <v>96.446925951532577</v>
      </c>
      <c r="T24" s="36">
        <v>50692.504280125519</v>
      </c>
      <c r="U24" s="36">
        <v>45278.101893534993</v>
      </c>
      <c r="V24" s="37">
        <v>123.54118599881389</v>
      </c>
      <c r="W24" s="38">
        <v>64933.24736097658</v>
      </c>
      <c r="X24" s="38">
        <v>58148.255739688837</v>
      </c>
    </row>
    <row r="25" spans="1:24" x14ac:dyDescent="0.3">
      <c r="A25" s="24" t="s">
        <v>15</v>
      </c>
      <c r="B25" s="25" t="s">
        <v>34</v>
      </c>
      <c r="C25" s="25">
        <v>40</v>
      </c>
      <c r="D25" s="25">
        <v>80</v>
      </c>
      <c r="E25" s="25">
        <f>_xlfn.XLOOKUP(B25,'[1]Standard Configuration'!$B$5:$B$135,'[1]Standard Configuration'!$F$5:$F$135)</f>
        <v>220</v>
      </c>
      <c r="F25" s="26">
        <v>140</v>
      </c>
      <c r="G25" s="27">
        <v>44.643962114509762</v>
      </c>
      <c r="H25" s="28">
        <v>23464.866487386331</v>
      </c>
      <c r="I25" s="28">
        <v>20536.684996101678</v>
      </c>
      <c r="J25" s="29">
        <v>87.008497966534563</v>
      </c>
      <c r="K25" s="30">
        <v>45731.666531210562</v>
      </c>
      <c r="L25" s="30">
        <v>40647.747078673739</v>
      </c>
      <c r="M25" s="31">
        <v>61.457230436022762</v>
      </c>
      <c r="N25" s="32">
        <v>32301.920317173564</v>
      </c>
      <c r="O25" s="32">
        <v>28523.223457640142</v>
      </c>
      <c r="P25" s="33">
        <v>101.86899166533718</v>
      </c>
      <c r="Q25" s="34">
        <v>53542.342019301228</v>
      </c>
      <c r="R25" s="34">
        <v>47719.377303793983</v>
      </c>
      <c r="S25" s="35">
        <v>120.56884391120006</v>
      </c>
      <c r="T25" s="36">
        <v>63370.984359726746</v>
      </c>
      <c r="U25" s="36">
        <v>56602.069611486302</v>
      </c>
      <c r="V25" s="37">
        <v>154.43666897030175</v>
      </c>
      <c r="W25" s="38">
        <v>81171.91321079059</v>
      </c>
      <c r="X25" s="38">
        <v>72689.761919178593</v>
      </c>
    </row>
    <row r="26" spans="1:24" x14ac:dyDescent="0.3">
      <c r="A26" s="24" t="s">
        <v>15</v>
      </c>
      <c r="B26" s="25" t="s">
        <v>35</v>
      </c>
      <c r="C26" s="25">
        <v>48</v>
      </c>
      <c r="D26" s="25">
        <v>96</v>
      </c>
      <c r="E26" s="25">
        <f>_xlfn.XLOOKUP(B26,'[1]Standard Configuration'!$B$5:$B$135,'[1]Standard Configuration'!$F$5:$F$135)</f>
        <v>240</v>
      </c>
      <c r="F26" s="26">
        <v>160</v>
      </c>
      <c r="G26" s="27">
        <v>53.540157827701748</v>
      </c>
      <c r="H26" s="28">
        <v>28140.706954240042</v>
      </c>
      <c r="I26" s="28">
        <v>24629.806812705832</v>
      </c>
      <c r="J26" s="29">
        <v>104.09716412889914</v>
      </c>
      <c r="K26" s="30">
        <v>54713.469466149392</v>
      </c>
      <c r="L26" s="30">
        <v>48632.407356816351</v>
      </c>
      <c r="M26" s="31">
        <v>70.353426149214755</v>
      </c>
      <c r="N26" s="32">
        <v>36977.760784027269</v>
      </c>
      <c r="O26" s="32">
        <v>32616.345274244297</v>
      </c>
      <c r="P26" s="33">
        <v>110.76518737852916</v>
      </c>
      <c r="Q26" s="34">
        <v>58218.182486154925</v>
      </c>
      <c r="R26" s="34">
        <v>51812.499120398141</v>
      </c>
      <c r="S26" s="35">
        <v>144.65001598373013</v>
      </c>
      <c r="T26" s="36">
        <v>76028.048401048552</v>
      </c>
      <c r="U26" s="36">
        <v>67908.268351167382</v>
      </c>
      <c r="V26" s="37">
        <v>185.2914060546521</v>
      </c>
      <c r="W26" s="38">
        <v>97389.163022325156</v>
      </c>
      <c r="X26" s="38">
        <v>87213.499120398134</v>
      </c>
    </row>
    <row r="27" spans="1:24" x14ac:dyDescent="0.3">
      <c r="A27" s="24" t="s">
        <v>15</v>
      </c>
      <c r="B27" s="25" t="s">
        <v>36</v>
      </c>
      <c r="C27" s="25">
        <v>2</v>
      </c>
      <c r="D27" s="25">
        <v>4</v>
      </c>
      <c r="E27" s="25">
        <f>_xlfn.XLOOKUP(B27,'[1]Standard Configuration'!$B$5:$B$135,'[1]Standard Configuration'!$F$5:$F$135)</f>
        <v>110</v>
      </c>
      <c r="F27" s="26">
        <v>60</v>
      </c>
      <c r="G27" s="27">
        <v>5.3724206155703254</v>
      </c>
      <c r="H27" s="28">
        <v>2823.7442755437628</v>
      </c>
      <c r="I27" s="28">
        <v>2467.1092645115364</v>
      </c>
      <c r="J27" s="29">
        <v>12.489501755355322</v>
      </c>
      <c r="K27" s="30">
        <v>6564.4821226147569</v>
      </c>
      <c r="L27" s="30">
        <v>5839.8932584267641</v>
      </c>
      <c r="M27" s="31">
        <v>12.485570733773637</v>
      </c>
      <c r="N27" s="32">
        <v>6562.4159776714232</v>
      </c>
      <c r="O27" s="32">
        <v>5845.9554183576902</v>
      </c>
      <c r="P27" s="33">
        <v>28.974961986728722</v>
      </c>
      <c r="Q27" s="34">
        <v>15229.240020224615</v>
      </c>
      <c r="R27" s="34">
        <v>13678.647726049998</v>
      </c>
      <c r="S27" s="35">
        <v>10.434295320062052</v>
      </c>
      <c r="T27" s="36">
        <v>5484.2656202246144</v>
      </c>
      <c r="U27" s="36">
        <v>4871.570802973074</v>
      </c>
      <c r="V27" s="37">
        <v>12.69188042644503</v>
      </c>
      <c r="W27" s="38">
        <v>6670.8523521395073</v>
      </c>
      <c r="X27" s="38">
        <v>5943.9554183576911</v>
      </c>
    </row>
    <row r="28" spans="1:24" x14ac:dyDescent="0.3">
      <c r="A28" s="24" t="s">
        <v>15</v>
      </c>
      <c r="B28" s="25" t="s">
        <v>37</v>
      </c>
      <c r="C28" s="25">
        <v>4</v>
      </c>
      <c r="D28" s="25">
        <v>8</v>
      </c>
      <c r="E28" s="25">
        <f>_xlfn.XLOOKUP(B28,'[1]Standard Configuration'!$B$5:$B$135,'[1]Standard Configuration'!$F$5:$F$135)</f>
        <v>120</v>
      </c>
      <c r="F28" s="26">
        <v>60</v>
      </c>
      <c r="G28" s="27">
        <v>10.50036590831591</v>
      </c>
      <c r="H28" s="28">
        <v>5518.9923214108412</v>
      </c>
      <c r="I28" s="28">
        <v>4827.6046594017225</v>
      </c>
      <c r="J28" s="29">
        <v>23.49532813027383</v>
      </c>
      <c r="K28" s="30">
        <v>12349.144465271927</v>
      </c>
      <c r="L28" s="30">
        <v>10990.87878543333</v>
      </c>
      <c r="M28" s="31">
        <v>24.726666144722529</v>
      </c>
      <c r="N28" s="32">
        <v>12996.33572566616</v>
      </c>
      <c r="O28" s="32">
        <v>11585.296967094031</v>
      </c>
      <c r="P28" s="33">
        <v>57.705448650632718</v>
      </c>
      <c r="Q28" s="34">
        <v>30329.983810772552</v>
      </c>
      <c r="R28" s="34">
        <v>27250.68158247865</v>
      </c>
      <c r="S28" s="35">
        <v>20.62411531729936</v>
      </c>
      <c r="T28" s="36">
        <v>10840.035010772543</v>
      </c>
      <c r="U28" s="36">
        <v>9636.5277363248006</v>
      </c>
      <c r="V28" s="37">
        <v>25.139285530065319</v>
      </c>
      <c r="W28" s="38">
        <v>13213.208474602332</v>
      </c>
      <c r="X28" s="38">
        <v>11781.296967094033</v>
      </c>
    </row>
    <row r="29" spans="1:24" x14ac:dyDescent="0.3">
      <c r="A29" s="24" t="s">
        <v>15</v>
      </c>
      <c r="B29" s="25" t="s">
        <v>38</v>
      </c>
      <c r="C29" s="25">
        <v>8</v>
      </c>
      <c r="D29" s="25">
        <v>16</v>
      </c>
      <c r="E29" s="25">
        <f>_xlfn.XLOOKUP(B29,'[1]Standard Configuration'!$B$5:$B$135,'[1]Standard Configuration'!$F$5:$F$135)</f>
        <v>130</v>
      </c>
      <c r="F29" s="26">
        <v>70</v>
      </c>
      <c r="G29" s="27">
        <v>20.797002380944534</v>
      </c>
      <c r="H29" s="28">
        <v>10930.904451424447</v>
      </c>
      <c r="I29" s="28">
        <v>9566.3644274523194</v>
      </c>
      <c r="J29" s="29">
        <v>45.466234992973376</v>
      </c>
      <c r="K29" s="30">
        <v>23897.053112306803</v>
      </c>
      <c r="L29" s="30">
        <v>21275.080861176233</v>
      </c>
      <c r="M29" s="31">
        <v>37.610270702457541</v>
      </c>
      <c r="N29" s="32">
        <v>19767.958281211682</v>
      </c>
      <c r="O29" s="32">
        <v>17552.902888990779</v>
      </c>
      <c r="P29" s="33">
        <v>78.022031931771963</v>
      </c>
      <c r="Q29" s="34">
        <v>41008.379983339342</v>
      </c>
      <c r="R29" s="34">
        <v>36749.05673514463</v>
      </c>
      <c r="S29" s="35">
        <v>41.044501198911433</v>
      </c>
      <c r="T29" s="36">
        <v>21572.98983014785</v>
      </c>
      <c r="U29" s="36">
        <v>19184.210581298474</v>
      </c>
      <c r="V29" s="37">
        <v>50.074841624443351</v>
      </c>
      <c r="W29" s="38">
        <v>26319.336757807429</v>
      </c>
      <c r="X29" s="38">
        <v>23473.749042836935</v>
      </c>
    </row>
    <row r="30" spans="1:24" x14ac:dyDescent="0.3">
      <c r="A30" s="24" t="s">
        <v>15</v>
      </c>
      <c r="B30" s="25" t="s">
        <v>39</v>
      </c>
      <c r="C30" s="25">
        <v>4</v>
      </c>
      <c r="D30" s="25">
        <v>12</v>
      </c>
      <c r="E30" s="25">
        <f>_xlfn.XLOOKUP(B30,'[1]Standard Configuration'!$B$5:$B$135,'[1]Standard Configuration'!$F$5:$F$135)</f>
        <v>120</v>
      </c>
      <c r="F30" s="26">
        <v>70</v>
      </c>
      <c r="G30" s="27">
        <v>3.3843811598136768</v>
      </c>
      <c r="H30" s="28">
        <v>1778.8307375980683</v>
      </c>
      <c r="I30" s="28">
        <v>1550.9879249780454</v>
      </c>
      <c r="J30" s="29">
        <v>6.9991811825773995</v>
      </c>
      <c r="K30" s="30">
        <v>3678.7696295626811</v>
      </c>
      <c r="L30" s="30">
        <v>3260.1392265855802</v>
      </c>
      <c r="M30" s="31">
        <v>17.610681396220301</v>
      </c>
      <c r="N30" s="32">
        <v>9256.1741418533875</v>
      </c>
      <c r="O30" s="32">
        <v>8308.6802326703528</v>
      </c>
      <c r="P30" s="33">
        <v>50.589463902130476</v>
      </c>
      <c r="Q30" s="34">
        <v>26589.822226959772</v>
      </c>
      <c r="R30" s="34">
        <v>23974.064848054975</v>
      </c>
      <c r="S30" s="35">
        <v>13.508130568797126</v>
      </c>
      <c r="T30" s="36">
        <v>7099.8734269597689</v>
      </c>
      <c r="U30" s="36">
        <v>6359.9110019011205</v>
      </c>
      <c r="V30" s="37">
        <v>18.023300781563087</v>
      </c>
      <c r="W30" s="38">
        <v>9473.0468907895574</v>
      </c>
      <c r="X30" s="38">
        <v>8504.6802326703546</v>
      </c>
    </row>
    <row r="31" spans="1:24" x14ac:dyDescent="0.3">
      <c r="A31" s="24" t="s">
        <v>15</v>
      </c>
      <c r="B31" s="25" t="s">
        <v>40</v>
      </c>
      <c r="C31" s="25">
        <v>8</v>
      </c>
      <c r="D31" s="25">
        <v>24</v>
      </c>
      <c r="E31" s="25">
        <f>_xlfn.XLOOKUP(B31,'[1]Standard Configuration'!$B$5:$B$135,'[1]Standard Configuration'!$F$5:$F$135)</f>
        <v>140</v>
      </c>
      <c r="F31" s="26">
        <v>80</v>
      </c>
      <c r="G31" s="27">
        <v>6.524286996802612</v>
      </c>
      <c r="H31" s="28">
        <v>3429.165245519453</v>
      </c>
      <c r="I31" s="28">
        <v>2995.3619803347406</v>
      </c>
      <c r="J31" s="29">
        <v>12.514686984717978</v>
      </c>
      <c r="K31" s="30">
        <v>6577.7194791677694</v>
      </c>
      <c r="L31" s="30">
        <v>5831.3707217509618</v>
      </c>
      <c r="M31" s="31">
        <v>23.337555318315619</v>
      </c>
      <c r="N31" s="32">
        <v>12266.219075306688</v>
      </c>
      <c r="O31" s="32">
        <v>10981.900441873202</v>
      </c>
      <c r="P31" s="33">
        <v>63.749316547630038</v>
      </c>
      <c r="Q31" s="34">
        <v>33506.640777434346</v>
      </c>
      <c r="R31" s="34">
        <v>30178.054288027055</v>
      </c>
      <c r="S31" s="35">
        <v>26.771785814769512</v>
      </c>
      <c r="T31" s="36">
        <v>14071.250624242855</v>
      </c>
      <c r="U31" s="36">
        <v>12613.208134180893</v>
      </c>
      <c r="V31" s="37">
        <v>35.802126240301433</v>
      </c>
      <c r="W31" s="38">
        <v>18817.597551902432</v>
      </c>
      <c r="X31" s="38">
        <v>16902.74659571936</v>
      </c>
    </row>
    <row r="32" spans="1:24" x14ac:dyDescent="0.3">
      <c r="A32" s="24" t="s">
        <v>15</v>
      </c>
      <c r="B32" s="25" t="s">
        <v>41</v>
      </c>
      <c r="C32" s="25">
        <v>12</v>
      </c>
      <c r="D32" s="25">
        <v>36</v>
      </c>
      <c r="E32" s="25">
        <f>_xlfn.XLOOKUP(B32,'[1]Standard Configuration'!$B$5:$B$135,'[1]Standard Configuration'!$F$5:$F$135)</f>
        <v>160</v>
      </c>
      <c r="F32" s="26">
        <v>90</v>
      </c>
      <c r="G32" s="27">
        <v>9.6641928337915495</v>
      </c>
      <c r="H32" s="28">
        <v>5079.4997534408385</v>
      </c>
      <c r="I32" s="28">
        <v>4439.7360356914369</v>
      </c>
      <c r="J32" s="29">
        <v>18.030192786858557</v>
      </c>
      <c r="K32" s="30">
        <v>9476.6693287728576</v>
      </c>
      <c r="L32" s="30">
        <v>8402.6022169163462</v>
      </c>
      <c r="M32" s="31">
        <v>26.477461155304557</v>
      </c>
      <c r="N32" s="32">
        <v>13916.553583228075</v>
      </c>
      <c r="O32" s="32">
        <v>12426.274497229899</v>
      </c>
      <c r="P32" s="33">
        <v>66.889222384618975</v>
      </c>
      <c r="Q32" s="34">
        <v>35156.975285355729</v>
      </c>
      <c r="R32" s="34">
        <v>31622.428343383741</v>
      </c>
      <c r="S32" s="35">
        <v>32.441657372798645</v>
      </c>
      <c r="T32" s="36">
        <v>17051.335115142971</v>
      </c>
      <c r="U32" s="36">
        <v>15259.351420306823</v>
      </c>
      <c r="V32" s="37">
        <v>38.21023184088375</v>
      </c>
      <c r="W32" s="38">
        <v>20083.2978555685</v>
      </c>
      <c r="X32" s="38">
        <v>17999.505266460666</v>
      </c>
    </row>
    <row r="33" spans="1:24" x14ac:dyDescent="0.3">
      <c r="A33" s="24" t="s">
        <v>15</v>
      </c>
      <c r="B33" s="25" t="s">
        <v>42</v>
      </c>
      <c r="C33" s="25">
        <v>24</v>
      </c>
      <c r="D33" s="25">
        <v>72</v>
      </c>
      <c r="E33" s="25">
        <f>_xlfn.XLOOKUP(B33,'[1]Standard Configuration'!$B$5:$B$135,'[1]Standard Configuration'!$F$5:$F$135)</f>
        <v>210</v>
      </c>
      <c r="F33" s="26">
        <v>130</v>
      </c>
      <c r="G33" s="27">
        <v>19.124656231895816</v>
      </c>
      <c r="H33" s="28">
        <v>10051.919315484442</v>
      </c>
      <c r="I33" s="28">
        <v>8790.62718003175</v>
      </c>
      <c r="J33" s="29">
        <v>34.53596430614283</v>
      </c>
      <c r="K33" s="30">
        <v>18152.102839308671</v>
      </c>
      <c r="L33" s="30">
        <v>16098.527724142263</v>
      </c>
      <c r="M33" s="31">
        <v>35.937924553408813</v>
      </c>
      <c r="N33" s="32">
        <v>18888.973145271673</v>
      </c>
      <c r="O33" s="32">
        <v>16777.165641570209</v>
      </c>
      <c r="P33" s="33">
        <v>76.349685782723242</v>
      </c>
      <c r="Q33" s="34">
        <v>40129.394847399344</v>
      </c>
      <c r="R33" s="34">
        <v>35973.319487724053</v>
      </c>
      <c r="S33" s="35">
        <v>64.67958530991001</v>
      </c>
      <c r="T33" s="36">
        <v>33995.590038888695</v>
      </c>
      <c r="U33" s="36">
        <v>30429.857949262518</v>
      </c>
      <c r="V33" s="37">
        <v>76.216734246080222</v>
      </c>
      <c r="W33" s="38">
        <v>40059.515519739762</v>
      </c>
      <c r="X33" s="38">
        <v>35910.165641570209</v>
      </c>
    </row>
    <row r="34" spans="1:24" x14ac:dyDescent="0.3">
      <c r="A34" s="24" t="s">
        <v>15</v>
      </c>
      <c r="B34" s="25" t="s">
        <v>43</v>
      </c>
      <c r="C34" s="25">
        <v>40</v>
      </c>
      <c r="D34" s="25">
        <v>120</v>
      </c>
      <c r="E34" s="25">
        <f>_xlfn.XLOOKUP(B34,'[1]Standard Configuration'!$B$5:$B$135,'[1]Standard Configuration'!$F$5:$F$135)</f>
        <v>270</v>
      </c>
      <c r="F34" s="26">
        <v>190</v>
      </c>
      <c r="G34" s="27">
        <v>49.288881154737801</v>
      </c>
      <c r="H34" s="28">
        <v>25906.235934930184</v>
      </c>
      <c r="I34" s="28">
        <v>22669.897955143253</v>
      </c>
      <c r="J34" s="29">
        <v>91.653417006762581</v>
      </c>
      <c r="K34" s="30">
        <v>48173.035978754408</v>
      </c>
      <c r="L34" s="30">
        <v>42780.960037715304</v>
      </c>
      <c r="M34" s="31">
        <v>66.102149476250815</v>
      </c>
      <c r="N34" s="32">
        <v>34743.289764717425</v>
      </c>
      <c r="O34" s="32">
        <v>30656.43641668171</v>
      </c>
      <c r="P34" s="33">
        <v>106.51391070556522</v>
      </c>
      <c r="Q34" s="34">
        <v>55983.711466845081</v>
      </c>
      <c r="R34" s="34">
        <v>49852.590262835547</v>
      </c>
      <c r="S34" s="35">
        <v>125.21376295142811</v>
      </c>
      <c r="T34" s="36">
        <v>65812.353807270614</v>
      </c>
      <c r="U34" s="36">
        <v>58735.282570527874</v>
      </c>
      <c r="V34" s="37">
        <v>159.08158801052977</v>
      </c>
      <c r="W34" s="38">
        <v>83613.282658334443</v>
      </c>
      <c r="X34" s="38">
        <v>74822.974878220164</v>
      </c>
    </row>
    <row r="35" spans="1:24" x14ac:dyDescent="0.3">
      <c r="A35" s="24" t="s">
        <v>15</v>
      </c>
      <c r="B35" s="25" t="s">
        <v>44</v>
      </c>
      <c r="C35" s="25">
        <v>48</v>
      </c>
      <c r="D35" s="25">
        <v>144</v>
      </c>
      <c r="E35" s="25">
        <f>_xlfn.XLOOKUP(B35,'[1]Standard Configuration'!$B$5:$B$135,'[1]Standard Configuration'!$F$5:$F$135)</f>
        <v>310</v>
      </c>
      <c r="F35" s="26">
        <v>210</v>
      </c>
      <c r="G35" s="27">
        <v>59.073314788837934</v>
      </c>
      <c r="H35" s="28">
        <v>31048.93425301322</v>
      </c>
      <c r="I35" s="28">
        <v>27171.893385285493</v>
      </c>
      <c r="J35" s="29">
        <v>109.71181286431022</v>
      </c>
      <c r="K35" s="30">
        <v>57664.528841481449</v>
      </c>
      <c r="L35" s="30">
        <v>51210.031885936456</v>
      </c>
      <c r="M35" s="31">
        <v>75.886583110350941</v>
      </c>
      <c r="N35" s="32">
        <v>39885.988082800453</v>
      </c>
      <c r="O35" s="32">
        <v>35158.431846823951</v>
      </c>
      <c r="P35" s="33">
        <v>116.29834433966536</v>
      </c>
      <c r="Q35" s="34">
        <v>61126.40978492811</v>
      </c>
      <c r="R35" s="34">
        <v>54354.585692977795</v>
      </c>
      <c r="S35" s="35">
        <v>150.18317294486633</v>
      </c>
      <c r="T35" s="36">
        <v>78936.275699821752</v>
      </c>
      <c r="U35" s="36">
        <v>70450.354923747029</v>
      </c>
      <c r="V35" s="37">
        <v>190.82456301578833</v>
      </c>
      <c r="W35" s="38">
        <v>100297.39032109834</v>
      </c>
      <c r="X35" s="38">
        <v>89755.58569297778</v>
      </c>
    </row>
    <row r="36" spans="1:24" x14ac:dyDescent="0.3">
      <c r="A36" s="24" t="s">
        <v>15</v>
      </c>
      <c r="B36" s="25" t="s">
        <v>45</v>
      </c>
      <c r="C36" s="25">
        <v>1</v>
      </c>
      <c r="D36" s="25">
        <v>4</v>
      </c>
      <c r="E36" s="25">
        <f>_xlfn.XLOOKUP(B36,'[1]Standard Configuration'!$B$5:$B$135,'[1]Standard Configuration'!$F$5:$F$135)</f>
        <v>110</v>
      </c>
      <c r="F36" s="26">
        <v>60</v>
      </c>
      <c r="G36" s="27">
        <v>1.0864436328999982</v>
      </c>
      <c r="H36" s="28">
        <v>571.03477345223905</v>
      </c>
      <c r="I36" s="28">
        <v>494.18865935004425</v>
      </c>
      <c r="J36" s="29">
        <v>2.9501030971530824</v>
      </c>
      <c r="K36" s="30">
        <v>1550.5741878636604</v>
      </c>
      <c r="L36" s="30">
        <v>1371.5236148037334</v>
      </c>
      <c r="M36" s="31">
        <v>8.1995937511033095</v>
      </c>
      <c r="N36" s="32">
        <v>4309.7064755799001</v>
      </c>
      <c r="O36" s="32">
        <v>3873.0348131961978</v>
      </c>
      <c r="P36" s="33">
        <v>24.688985004058399</v>
      </c>
      <c r="Q36" s="34">
        <v>12976.530518133093</v>
      </c>
      <c r="R36" s="34">
        <v>11705.727120888507</v>
      </c>
      <c r="S36" s="35">
        <v>3.6173809851458616</v>
      </c>
      <c r="T36" s="36">
        <v>1901.2954457926649</v>
      </c>
      <c r="U36" s="36">
        <v>1696.4194285808132</v>
      </c>
      <c r="V36" s="37">
        <v>4.7461735383373513</v>
      </c>
      <c r="W36" s="38">
        <v>2494.5888117501122</v>
      </c>
      <c r="X36" s="38">
        <v>2232.6117362731211</v>
      </c>
    </row>
    <row r="37" spans="1:24" x14ac:dyDescent="0.3">
      <c r="A37" s="24" t="s">
        <v>15</v>
      </c>
      <c r="B37" s="25" t="s">
        <v>46</v>
      </c>
      <c r="C37" s="25">
        <v>2</v>
      </c>
      <c r="D37" s="25">
        <v>8</v>
      </c>
      <c r="E37" s="25">
        <f>_xlfn.XLOOKUP(B37,'[1]Standard Configuration'!$B$5:$B$135,'[1]Standard Configuration'!$F$5:$F$135)</f>
        <v>120</v>
      </c>
      <c r="F37" s="26">
        <v>60</v>
      </c>
      <c r="G37" s="27">
        <v>1.9284119429752555</v>
      </c>
      <c r="H37" s="28">
        <v>1013.5733172277944</v>
      </c>
      <c r="I37" s="28">
        <v>881.76344907873852</v>
      </c>
      <c r="J37" s="29">
        <v>4.4165308138693424</v>
      </c>
      <c r="K37" s="30">
        <v>2321.3285957697267</v>
      </c>
      <c r="L37" s="30">
        <v>2054.1394981872681</v>
      </c>
      <c r="M37" s="31">
        <v>9.041562061178567</v>
      </c>
      <c r="N37" s="32">
        <v>4752.245019355455</v>
      </c>
      <c r="O37" s="32">
        <v>4260.6096029248911</v>
      </c>
      <c r="P37" s="33">
        <v>25.530953314133654</v>
      </c>
      <c r="Q37" s="34">
        <v>13419.069061908647</v>
      </c>
      <c r="R37" s="34">
        <v>12093.3019106172</v>
      </c>
      <c r="S37" s="35">
        <v>6.9902866474669825</v>
      </c>
      <c r="T37" s="36">
        <v>3674.0946619086458</v>
      </c>
      <c r="U37" s="36">
        <v>3286.2249875402767</v>
      </c>
      <c r="V37" s="37">
        <v>9.247871753849962</v>
      </c>
      <c r="W37" s="38">
        <v>4860.68139382354</v>
      </c>
      <c r="X37" s="38">
        <v>4358.609602924892</v>
      </c>
    </row>
    <row r="38" spans="1:24" x14ac:dyDescent="0.3">
      <c r="A38" s="24" t="s">
        <v>15</v>
      </c>
      <c r="B38" s="25" t="s">
        <v>47</v>
      </c>
      <c r="C38" s="25">
        <v>4</v>
      </c>
      <c r="D38" s="25">
        <v>16</v>
      </c>
      <c r="E38" s="25">
        <f>_xlfn.XLOOKUP(B38,'[1]Standard Configuration'!$B$5:$B$135,'[1]Standard Configuration'!$F$5:$F$135)</f>
        <v>130</v>
      </c>
      <c r="F38" s="26">
        <v>70</v>
      </c>
      <c r="G38" s="27">
        <v>3.653094450263227</v>
      </c>
      <c r="H38" s="28">
        <v>1920.0664430583518</v>
      </c>
      <c r="I38" s="28">
        <v>1674.6820068063523</v>
      </c>
      <c r="J38" s="29">
        <v>7.3086403601644063</v>
      </c>
      <c r="K38" s="30">
        <v>3841.4213733024117</v>
      </c>
      <c r="L38" s="30">
        <v>3401.6022866841122</v>
      </c>
      <c r="M38" s="31">
        <v>17.879394686669848</v>
      </c>
      <c r="N38" s="32">
        <v>9397.409847313671</v>
      </c>
      <c r="O38" s="32">
        <v>8432.3743144986565</v>
      </c>
      <c r="P38" s="33">
        <v>50.858177192580037</v>
      </c>
      <c r="Q38" s="34">
        <v>26731.057932420063</v>
      </c>
      <c r="R38" s="34">
        <v>24097.758929883279</v>
      </c>
      <c r="S38" s="35">
        <v>13.776843859246679</v>
      </c>
      <c r="T38" s="36">
        <v>7241.1091324200534</v>
      </c>
      <c r="U38" s="36">
        <v>6483.6050837294288</v>
      </c>
      <c r="V38" s="37">
        <v>18.292014072012638</v>
      </c>
      <c r="W38" s="38">
        <v>9614.2825962498409</v>
      </c>
      <c r="X38" s="38">
        <v>8628.3743144986584</v>
      </c>
    </row>
    <row r="39" spans="1:24" x14ac:dyDescent="0.3">
      <c r="A39" s="24" t="s">
        <v>15</v>
      </c>
      <c r="B39" s="25" t="s">
        <v>48</v>
      </c>
      <c r="C39" s="25">
        <v>6</v>
      </c>
      <c r="D39" s="25">
        <v>24</v>
      </c>
      <c r="E39" s="25">
        <f>_xlfn.XLOOKUP(B39,'[1]Standard Configuration'!$B$5:$B$135,'[1]Standard Configuration'!$F$5:$F$135)</f>
        <v>140</v>
      </c>
      <c r="F39" s="26">
        <v>80</v>
      </c>
      <c r="G39" s="27">
        <v>5.3777769575512</v>
      </c>
      <c r="H39" s="28">
        <v>2826.5595688889107</v>
      </c>
      <c r="I39" s="28">
        <v>2467.6005645339656</v>
      </c>
      <c r="J39" s="29">
        <v>10.200749906459473</v>
      </c>
      <c r="K39" s="30">
        <v>5361.5141508350989</v>
      </c>
      <c r="L39" s="30">
        <v>4749.0650751809571</v>
      </c>
      <c r="M39" s="31">
        <v>22.191045279064205</v>
      </c>
      <c r="N39" s="32">
        <v>11663.613398676149</v>
      </c>
      <c r="O39" s="32">
        <v>10454.139026072427</v>
      </c>
      <c r="P39" s="33">
        <v>62.60280650837862</v>
      </c>
      <c r="Q39" s="34">
        <v>32904.035100803805</v>
      </c>
      <c r="R39" s="34">
        <v>29650.292872226277</v>
      </c>
      <c r="S39" s="35">
        <v>20.56340107102638</v>
      </c>
      <c r="T39" s="36">
        <v>10808.123602931466</v>
      </c>
      <c r="U39" s="36">
        <v>9680.9851799185799</v>
      </c>
      <c r="V39" s="37">
        <v>27.336156390175322</v>
      </c>
      <c r="W39" s="38">
        <v>14367.883798676148</v>
      </c>
      <c r="X39" s="38">
        <v>12898.139026072427</v>
      </c>
    </row>
    <row r="40" spans="1:24" x14ac:dyDescent="0.3">
      <c r="A40" s="24" t="s">
        <v>15</v>
      </c>
      <c r="B40" s="25" t="s">
        <v>49</v>
      </c>
      <c r="C40" s="25">
        <v>8</v>
      </c>
      <c r="D40" s="25">
        <v>32</v>
      </c>
      <c r="E40" s="25">
        <f>_xlfn.XLOOKUP(B40,'[1]Standard Configuration'!$B$5:$B$135,'[1]Standard Configuration'!$F$5:$F$135)</f>
        <v>150</v>
      </c>
      <c r="F40" s="26">
        <v>90</v>
      </c>
      <c r="G40" s="27">
        <v>7.1024594648391703</v>
      </c>
      <c r="H40" s="28">
        <v>3733.052694719468</v>
      </c>
      <c r="I40" s="28">
        <v>3260.519122261579</v>
      </c>
      <c r="J40" s="29">
        <v>13.092859452754535</v>
      </c>
      <c r="K40" s="30">
        <v>6881.6069283677825</v>
      </c>
      <c r="L40" s="30">
        <v>6096.5278636778003</v>
      </c>
      <c r="M40" s="31">
        <v>23.915727786352175</v>
      </c>
      <c r="N40" s="32">
        <v>12570.106524506704</v>
      </c>
      <c r="O40" s="32">
        <v>11247.05758380004</v>
      </c>
      <c r="P40" s="33">
        <v>64.327489015666586</v>
      </c>
      <c r="Q40" s="34">
        <v>33810.528226634364</v>
      </c>
      <c r="R40" s="34">
        <v>30443.211429953884</v>
      </c>
      <c r="S40" s="35">
        <v>27.349958282806075</v>
      </c>
      <c r="T40" s="36">
        <v>14375.138073442873</v>
      </c>
      <c r="U40" s="36">
        <v>12878.365276107732</v>
      </c>
      <c r="V40" s="37">
        <v>36.380298708337996</v>
      </c>
      <c r="W40" s="38">
        <v>19121.48500110245</v>
      </c>
      <c r="X40" s="38">
        <v>17167.903737646197</v>
      </c>
    </row>
    <row r="41" spans="1:24" x14ac:dyDescent="0.3">
      <c r="A41" s="24" t="s">
        <v>15</v>
      </c>
      <c r="B41" s="25" t="s">
        <v>50</v>
      </c>
      <c r="C41" s="25">
        <v>12</v>
      </c>
      <c r="D41" s="25">
        <v>48</v>
      </c>
      <c r="E41" s="25">
        <f>_xlfn.XLOOKUP(B41,'[1]Standard Configuration'!$B$5:$B$135,'[1]Standard Configuration'!$F$5:$F$135)</f>
        <v>170</v>
      </c>
      <c r="F41" s="26">
        <v>110</v>
      </c>
      <c r="G41" s="27">
        <v>10.551824479415115</v>
      </c>
      <c r="H41" s="28">
        <v>5546.0389463805841</v>
      </c>
      <c r="I41" s="28">
        <v>4846.3562377168064</v>
      </c>
      <c r="J41" s="29">
        <v>18.877078545344666</v>
      </c>
      <c r="K41" s="30">
        <v>9921.7924834331552</v>
      </c>
      <c r="L41" s="30">
        <v>8791.4534406714902</v>
      </c>
      <c r="M41" s="31">
        <v>27.365092800928124</v>
      </c>
      <c r="N41" s="32">
        <v>14383.092776167821</v>
      </c>
      <c r="O41" s="32">
        <v>12832.894699255268</v>
      </c>
      <c r="P41" s="33">
        <v>67.776854030242546</v>
      </c>
      <c r="Q41" s="34">
        <v>35623.514478295481</v>
      </c>
      <c r="R41" s="34">
        <v>32029.04854540911</v>
      </c>
      <c r="S41" s="35">
        <v>33.329289018422216</v>
      </c>
      <c r="T41" s="36">
        <v>17517.874308082719</v>
      </c>
      <c r="U41" s="36">
        <v>15665.971622332192</v>
      </c>
      <c r="V41" s="37">
        <v>39.097863486507322</v>
      </c>
      <c r="W41" s="38">
        <v>20549.837048508249</v>
      </c>
      <c r="X41" s="38">
        <v>18406.12546848604</v>
      </c>
    </row>
    <row r="42" spans="1:24" x14ac:dyDescent="0.3">
      <c r="A42" s="24" t="s">
        <v>15</v>
      </c>
      <c r="B42" s="25" t="s">
        <v>51</v>
      </c>
      <c r="C42" s="25">
        <v>16</v>
      </c>
      <c r="D42" s="25">
        <v>64</v>
      </c>
      <c r="E42" s="25">
        <f>_xlfn.XLOOKUP(B42,'[1]Standard Configuration'!$B$5:$B$135,'[1]Standard Configuration'!$F$5:$F$135)</f>
        <v>190</v>
      </c>
      <c r="F42" s="26">
        <v>130</v>
      </c>
      <c r="G42" s="27">
        <v>14.001189493991056</v>
      </c>
      <c r="H42" s="28">
        <v>7359.0251980416988</v>
      </c>
      <c r="I42" s="28">
        <v>6432.1933531720342</v>
      </c>
      <c r="J42" s="29">
        <v>24.661297637934798</v>
      </c>
      <c r="K42" s="30">
        <v>12961.97803849853</v>
      </c>
      <c r="L42" s="30">
        <v>11486.379017665178</v>
      </c>
      <c r="M42" s="31">
        <v>30.814457815504056</v>
      </c>
      <c r="N42" s="32">
        <v>16196.079027828931</v>
      </c>
      <c r="O42" s="32">
        <v>14418.731814710494</v>
      </c>
      <c r="P42" s="33">
        <v>71.226219044818478</v>
      </c>
      <c r="Q42" s="34">
        <v>37436.500729956591</v>
      </c>
      <c r="R42" s="34">
        <v>33614.88566086434</v>
      </c>
      <c r="S42" s="35">
        <v>44.371142212667181</v>
      </c>
      <c r="T42" s="36">
        <v>23321.472346977869</v>
      </c>
      <c r="U42" s="36">
        <v>20858.347199325879</v>
      </c>
      <c r="V42" s="37">
        <v>52.062574836780655</v>
      </c>
      <c r="W42" s="38">
        <v>27364.089334211916</v>
      </c>
      <c r="X42" s="38">
        <v>24511.885660864344</v>
      </c>
    </row>
    <row r="43" spans="1:24" x14ac:dyDescent="0.3">
      <c r="A43" s="24" t="s">
        <v>15</v>
      </c>
      <c r="B43" s="25" t="s">
        <v>52</v>
      </c>
      <c r="C43" s="25">
        <v>24</v>
      </c>
      <c r="D43" s="25">
        <v>96</v>
      </c>
      <c r="E43" s="25">
        <f>_xlfn.XLOOKUP(B43,'[1]Standard Configuration'!$B$5:$B$135,'[1]Standard Configuration'!$F$5:$F$135)</f>
        <v>240</v>
      </c>
      <c r="F43" s="26">
        <v>160</v>
      </c>
      <c r="G43" s="27">
        <v>20.85917363600549</v>
      </c>
      <c r="H43" s="28">
        <v>10963.581663084486</v>
      </c>
      <c r="I43" s="28">
        <v>9586.0986058122617</v>
      </c>
      <c r="J43" s="29">
        <v>36.270481710252511</v>
      </c>
      <c r="K43" s="30">
        <v>19063.76518690872</v>
      </c>
      <c r="L43" s="30">
        <v>16893.999149922784</v>
      </c>
      <c r="M43" s="31">
        <v>37.672441957518494</v>
      </c>
      <c r="N43" s="32">
        <v>19800.635492871723</v>
      </c>
      <c r="O43" s="32">
        <v>17572.637067350723</v>
      </c>
      <c r="P43" s="33">
        <v>78.084203186832923</v>
      </c>
      <c r="Q43" s="34">
        <v>41041.057194999383</v>
      </c>
      <c r="R43" s="34">
        <v>36768.79091350457</v>
      </c>
      <c r="S43" s="35">
        <v>66.414102714019677</v>
      </c>
      <c r="T43" s="36">
        <v>34907.252386488748</v>
      </c>
      <c r="U43" s="36">
        <v>31225.329375043031</v>
      </c>
      <c r="V43" s="37">
        <v>77.951251650189903</v>
      </c>
      <c r="W43" s="38">
        <v>40971.177867339808</v>
      </c>
      <c r="X43" s="38">
        <v>36705.637067350726</v>
      </c>
    </row>
    <row r="44" spans="1:24" x14ac:dyDescent="0.3">
      <c r="A44" s="24" t="s">
        <v>15</v>
      </c>
      <c r="B44" s="25" t="s">
        <v>53</v>
      </c>
      <c r="C44" s="25">
        <v>32</v>
      </c>
      <c r="D44" s="25">
        <v>128</v>
      </c>
      <c r="E44" s="25">
        <f>_xlfn.XLOOKUP(B44,'[1]Standard Configuration'!$B$5:$B$135,'[1]Standard Configuration'!$F$5:$F$135)</f>
        <v>280</v>
      </c>
      <c r="F44" s="26">
        <v>200</v>
      </c>
      <c r="G44" s="27">
        <v>43.179636865682632</v>
      </c>
      <c r="H44" s="28">
        <v>22695.217136602791</v>
      </c>
      <c r="I44" s="28">
        <v>19856.703913964044</v>
      </c>
      <c r="J44" s="29">
        <v>77.351702268534851</v>
      </c>
      <c r="K44" s="30">
        <v>40656.054712341916</v>
      </c>
      <c r="L44" s="30">
        <v>36076.227534997633</v>
      </c>
      <c r="M44" s="31">
        <v>59.992905187195632</v>
      </c>
      <c r="N44" s="32">
        <v>31532.270966390024</v>
      </c>
      <c r="O44" s="32">
        <v>27843.242375502505</v>
      </c>
      <c r="P44" s="33">
        <v>100.40466641651007</v>
      </c>
      <c r="Q44" s="34">
        <v>52772.692668517695</v>
      </c>
      <c r="R44" s="34">
        <v>47039.396221656345</v>
      </c>
      <c r="S44" s="35">
        <v>103.91954230303487</v>
      </c>
      <c r="T44" s="36">
        <v>54620.111434475133</v>
      </c>
      <c r="U44" s="36">
        <v>48709.011606271735</v>
      </c>
      <c r="V44" s="37">
        <v>131.01380235031621</v>
      </c>
      <c r="W44" s="38">
        <v>68860.854515326195</v>
      </c>
      <c r="X44" s="38">
        <v>61579.165452425572</v>
      </c>
    </row>
    <row r="45" spans="1:24" x14ac:dyDescent="0.3">
      <c r="A45" s="24" t="s">
        <v>15</v>
      </c>
      <c r="B45" s="25" t="s">
        <v>54</v>
      </c>
      <c r="C45" s="25">
        <v>40</v>
      </c>
      <c r="D45" s="25">
        <v>160</v>
      </c>
      <c r="E45" s="25">
        <f>_xlfn.XLOOKUP(B45,'[1]Standard Configuration'!$B$5:$B$135,'[1]Standard Configuration'!$F$5:$F$135)</f>
        <v>330</v>
      </c>
      <c r="F45" s="26">
        <v>230</v>
      </c>
      <c r="G45" s="27">
        <v>53.893054307828379</v>
      </c>
      <c r="H45" s="28">
        <v>28326.189344194598</v>
      </c>
      <c r="I45" s="28">
        <v>24785.341935914596</v>
      </c>
      <c r="J45" s="29">
        <v>96.339081934128089</v>
      </c>
      <c r="K45" s="30">
        <v>50635.821464577712</v>
      </c>
      <c r="L45" s="30">
        <v>44931.941975027112</v>
      </c>
      <c r="M45" s="31">
        <v>70.706322629341386</v>
      </c>
      <c r="N45" s="32">
        <v>37163.243173981828</v>
      </c>
      <c r="O45" s="32">
        <v>32771.88039745306</v>
      </c>
      <c r="P45" s="33">
        <v>111.11808385865582</v>
      </c>
      <c r="Q45" s="34">
        <v>58403.664876109498</v>
      </c>
      <c r="R45" s="34">
        <v>51968.034243606904</v>
      </c>
      <c r="S45" s="35">
        <v>129.81793610451868</v>
      </c>
      <c r="T45" s="36">
        <v>68232.307216535017</v>
      </c>
      <c r="U45" s="36">
        <v>60850.726551299209</v>
      </c>
      <c r="V45" s="37">
        <v>163.68576116362036</v>
      </c>
      <c r="W45" s="38">
        <v>86033.23606759886</v>
      </c>
      <c r="X45" s="38">
        <v>76938.418858991514</v>
      </c>
    </row>
    <row r="46" spans="1:24" x14ac:dyDescent="0.3">
      <c r="A46" s="24" t="s">
        <v>15</v>
      </c>
      <c r="B46" s="25" t="s">
        <v>55</v>
      </c>
      <c r="C46" s="25">
        <v>64</v>
      </c>
      <c r="D46" s="25">
        <v>256</v>
      </c>
      <c r="E46" s="25">
        <f>_xlfn.XLOOKUP(B46,'[1]Standard Configuration'!$B$5:$B$135,'[1]Standard Configuration'!$F$5:$F$135)</f>
        <v>460</v>
      </c>
      <c r="F46" s="26">
        <v>340</v>
      </c>
      <c r="G46" s="27">
        <v>86.114798408540537</v>
      </c>
      <c r="H46" s="28">
        <v>45261.938043528906</v>
      </c>
      <c r="I46" s="28">
        <v>39606.793958306727</v>
      </c>
      <c r="J46" s="29">
        <v>153.21972915663289</v>
      </c>
      <c r="K46" s="30">
        <v>80532.289644726232</v>
      </c>
      <c r="L46" s="30">
        <v>71463.547338575081</v>
      </c>
      <c r="M46" s="31">
        <v>102.92806673005354</v>
      </c>
      <c r="N46" s="32">
        <v>54098.991873316147</v>
      </c>
      <c r="O46" s="32">
        <v>47593.332419845188</v>
      </c>
      <c r="P46" s="33">
        <v>143.33982795936799</v>
      </c>
      <c r="Q46" s="34">
        <v>75339.413575443803</v>
      </c>
      <c r="R46" s="34">
        <v>66789.486265999032</v>
      </c>
      <c r="S46" s="35">
        <v>207.59460928324501</v>
      </c>
      <c r="T46" s="36">
        <v>109111.72663927358</v>
      </c>
      <c r="U46" s="36">
        <v>97311.409342922125</v>
      </c>
      <c r="V46" s="37">
        <v>261.78312937780771</v>
      </c>
      <c r="W46" s="38">
        <v>137593.21280097571</v>
      </c>
      <c r="X46" s="38">
        <v>123051.71703522977</v>
      </c>
    </row>
    <row r="47" spans="1:24" x14ac:dyDescent="0.3">
      <c r="A47" s="24" t="s">
        <v>15</v>
      </c>
      <c r="B47" s="25" t="s">
        <v>56</v>
      </c>
      <c r="C47" s="25">
        <v>4</v>
      </c>
      <c r="D47" s="25">
        <v>16</v>
      </c>
      <c r="E47" s="25">
        <f>_xlfn.XLOOKUP(B47,'[1]Standard Configuration'!$B$5:$B$135,'[1]Standard Configuration'!$F$5:$F$135)</f>
        <v>130</v>
      </c>
      <c r="F47" s="26">
        <v>70</v>
      </c>
      <c r="G47" s="27">
        <v>11.48160831202679</v>
      </c>
      <c r="H47" s="28">
        <v>6034.7333288012805</v>
      </c>
      <c r="I47" s="28">
        <v>5278.3029240710212</v>
      </c>
      <c r="J47" s="29">
        <v>24.476570533984713</v>
      </c>
      <c r="K47" s="30">
        <v>12864.885472662363</v>
      </c>
      <c r="L47" s="30">
        <v>11441.577050102627</v>
      </c>
      <c r="M47" s="31">
        <v>25.707908548433412</v>
      </c>
      <c r="N47" s="32">
        <v>13512.076733056603</v>
      </c>
      <c r="O47" s="32">
        <v>12035.995231763327</v>
      </c>
      <c r="P47" s="33">
        <v>58.686691054343591</v>
      </c>
      <c r="Q47" s="34">
        <v>30845.724818162988</v>
      </c>
      <c r="R47" s="34">
        <v>27701.379847147946</v>
      </c>
      <c r="S47" s="35">
        <v>21.60535772101024</v>
      </c>
      <c r="T47" s="36">
        <v>11355.776018162982</v>
      </c>
      <c r="U47" s="36">
        <v>10087.226000994096</v>
      </c>
      <c r="V47" s="37">
        <v>26.120527933776206</v>
      </c>
      <c r="W47" s="38">
        <v>13728.949481992771</v>
      </c>
      <c r="X47" s="38">
        <v>12231.995231763331</v>
      </c>
    </row>
    <row r="48" spans="1:24" x14ac:dyDescent="0.3">
      <c r="A48" s="24" t="s">
        <v>15</v>
      </c>
      <c r="B48" s="25" t="s">
        <v>57</v>
      </c>
      <c r="C48" s="25">
        <v>8</v>
      </c>
      <c r="D48" s="25">
        <v>32</v>
      </c>
      <c r="E48" s="25">
        <f>_xlfn.XLOOKUP(B48,'[1]Standard Configuration'!$B$5:$B$135,'[1]Standard Configuration'!$F$5:$F$135)</f>
        <v>150</v>
      </c>
      <c r="F48" s="26">
        <v>90</v>
      </c>
      <c r="G48" s="27">
        <v>22.759487188366297</v>
      </c>
      <c r="H48" s="28">
        <v>11962.386466205326</v>
      </c>
      <c r="I48" s="28">
        <v>10467.760956790917</v>
      </c>
      <c r="J48" s="29">
        <v>47.428719800395136</v>
      </c>
      <c r="K48" s="30">
        <v>24928.535127087682</v>
      </c>
      <c r="L48" s="30">
        <v>22176.477390514829</v>
      </c>
      <c r="M48" s="31">
        <v>39.5727555098793</v>
      </c>
      <c r="N48" s="32">
        <v>20799.440295992557</v>
      </c>
      <c r="O48" s="32">
        <v>18454.299418329378</v>
      </c>
      <c r="P48" s="33">
        <v>79.984516739193722</v>
      </c>
      <c r="Q48" s="34">
        <v>42039.861998120221</v>
      </c>
      <c r="R48" s="34">
        <v>37650.453264483222</v>
      </c>
      <c r="S48" s="35">
        <v>43.0069860063332</v>
      </c>
      <c r="T48" s="36">
        <v>22604.471844928728</v>
      </c>
      <c r="U48" s="36">
        <v>20085.607110637065</v>
      </c>
      <c r="V48" s="37">
        <v>52.037326431865118</v>
      </c>
      <c r="W48" s="38">
        <v>27350.818772588307</v>
      </c>
      <c r="X48" s="38">
        <v>24375.145572175534</v>
      </c>
    </row>
    <row r="49" spans="1:24" x14ac:dyDescent="0.3">
      <c r="A49" s="24" t="s">
        <v>15</v>
      </c>
      <c r="B49" s="25" t="s">
        <v>58</v>
      </c>
      <c r="C49" s="25">
        <v>16</v>
      </c>
      <c r="D49" s="25">
        <v>64</v>
      </c>
      <c r="E49" s="25">
        <f>_xlfn.XLOOKUP(B49,'[1]Standard Configuration'!$B$5:$B$135,'[1]Standard Configuration'!$F$5:$F$135)</f>
        <v>190</v>
      </c>
      <c r="F49" s="26">
        <v>130</v>
      </c>
      <c r="G49" s="27">
        <v>45.3152449410453</v>
      </c>
      <c r="H49" s="28">
        <v>23817.692741013409</v>
      </c>
      <c r="I49" s="28">
        <v>20846.677022230706</v>
      </c>
      <c r="J49" s="29">
        <v>93.333018333216003</v>
      </c>
      <c r="K49" s="30">
        <v>49055.834435938326</v>
      </c>
      <c r="L49" s="30">
        <v>43646.278071339235</v>
      </c>
      <c r="M49" s="31">
        <v>62.1285132625583</v>
      </c>
      <c r="N49" s="32">
        <v>32654.746570800642</v>
      </c>
      <c r="O49" s="32">
        <v>28833.215483769167</v>
      </c>
      <c r="P49" s="33">
        <v>102.54027449187274</v>
      </c>
      <c r="Q49" s="34">
        <v>53895.168272928306</v>
      </c>
      <c r="R49" s="34">
        <v>48029.369329923007</v>
      </c>
      <c r="S49" s="35">
        <v>75.685197659721439</v>
      </c>
      <c r="T49" s="36">
        <v>39780.139889949583</v>
      </c>
      <c r="U49" s="36">
        <v>35272.830868384553</v>
      </c>
      <c r="V49" s="37">
        <v>83.376630283834913</v>
      </c>
      <c r="W49" s="38">
        <v>43822.75687718363</v>
      </c>
      <c r="X49" s="38">
        <v>38926.369329923014</v>
      </c>
    </row>
    <row r="50" spans="1:24" x14ac:dyDescent="0.3">
      <c r="A50" s="24" t="s">
        <v>15</v>
      </c>
      <c r="B50" s="25" t="s">
        <v>59</v>
      </c>
      <c r="C50" s="25">
        <v>32</v>
      </c>
      <c r="D50" s="25">
        <v>128</v>
      </c>
      <c r="E50" s="25">
        <f>_xlfn.XLOOKUP(B50,'[1]Standard Configuration'!$B$5:$B$135,'[1]Standard Configuration'!$F$5:$F$135)</f>
        <v>280</v>
      </c>
      <c r="F50" s="26">
        <v>200</v>
      </c>
      <c r="G50" s="27">
        <v>85.409005448287274</v>
      </c>
      <c r="H50" s="28">
        <v>44890.973263619795</v>
      </c>
      <c r="I50" s="28">
        <v>39295.723711889201</v>
      </c>
      <c r="J50" s="29">
        <v>180.20535217501657</v>
      </c>
      <c r="K50" s="30">
        <v>94715.933103188712</v>
      </c>
      <c r="L50" s="30">
        <v>84312.631948307404</v>
      </c>
      <c r="M50" s="31">
        <v>102.22227376980028</v>
      </c>
      <c r="N50" s="32">
        <v>53728.027093407036</v>
      </c>
      <c r="O50" s="32">
        <v>47282.262173427662</v>
      </c>
      <c r="P50" s="33">
        <v>142.63403499911468</v>
      </c>
      <c r="Q50" s="34">
        <v>74968.448795534656</v>
      </c>
      <c r="R50" s="34">
        <v>66478.416019581506</v>
      </c>
      <c r="S50" s="35">
        <v>146.14891088563951</v>
      </c>
      <c r="T50" s="36">
        <v>76815.867561492123</v>
      </c>
      <c r="U50" s="36">
        <v>68148.031404196881</v>
      </c>
      <c r="V50" s="37">
        <v>173.24317093292083</v>
      </c>
      <c r="W50" s="38">
        <v>91056.610642343207</v>
      </c>
      <c r="X50" s="38">
        <v>81018.185250350725</v>
      </c>
    </row>
    <row r="51" spans="1:24" x14ac:dyDescent="0.3">
      <c r="A51" s="24" t="s">
        <v>15</v>
      </c>
      <c r="B51" s="25" t="s">
        <v>60</v>
      </c>
      <c r="C51" s="25">
        <v>40</v>
      </c>
      <c r="D51" s="25">
        <v>160</v>
      </c>
      <c r="E51" s="25">
        <f>_xlfn.XLOOKUP(B51,'[1]Standard Configuration'!$B$5:$B$135,'[1]Standard Configuration'!$F$5:$F$135)</f>
        <v>330</v>
      </c>
      <c r="F51" s="26">
        <v>230</v>
      </c>
      <c r="G51" s="27">
        <v>106.67976503608416</v>
      </c>
      <c r="H51" s="28">
        <v>56070.884502965833</v>
      </c>
      <c r="I51" s="28">
        <v>49084.116683321059</v>
      </c>
      <c r="J51" s="29">
        <v>224.90614431723026</v>
      </c>
      <c r="K51" s="30">
        <v>118210.66945313623</v>
      </c>
      <c r="L51" s="30">
        <v>105227.44749166432</v>
      </c>
      <c r="M51" s="31">
        <v>123.49303335759716</v>
      </c>
      <c r="N51" s="32">
        <v>64907.938332753052</v>
      </c>
      <c r="O51" s="32">
        <v>57070.65514485952</v>
      </c>
      <c r="P51" s="33">
        <v>163.90479458691161</v>
      </c>
      <c r="Q51" s="34">
        <v>86148.360034880738</v>
      </c>
      <c r="R51" s="34">
        <v>76266.808991013371</v>
      </c>
      <c r="S51" s="35">
        <v>182.60464683277451</v>
      </c>
      <c r="T51" s="36">
        <v>95977.002375306285</v>
      </c>
      <c r="U51" s="36">
        <v>85149.501298705669</v>
      </c>
      <c r="V51" s="37">
        <v>216.47247189187615</v>
      </c>
      <c r="W51" s="38">
        <v>113777.93122637008</v>
      </c>
      <c r="X51" s="38">
        <v>101237.19360639795</v>
      </c>
    </row>
    <row r="52" spans="1:24" x14ac:dyDescent="0.3">
      <c r="A52" s="24" t="s">
        <v>15</v>
      </c>
      <c r="B52" s="25" t="s">
        <v>61</v>
      </c>
      <c r="C52" s="25">
        <v>48</v>
      </c>
      <c r="D52" s="25">
        <v>192</v>
      </c>
      <c r="E52" s="25">
        <f>_xlfn.XLOOKUP(B52,'[1]Standard Configuration'!$B$5:$B$135,'[1]Standard Configuration'!$F$5:$F$135)</f>
        <v>370</v>
      </c>
      <c r="F52" s="26">
        <v>270</v>
      </c>
      <c r="G52" s="27">
        <v>127.99127051101856</v>
      </c>
      <c r="H52" s="28">
        <v>67272.211780591344</v>
      </c>
      <c r="I52" s="28">
        <v>58890.278633023125</v>
      </c>
      <c r="J52" s="29">
        <v>269.56619057230654</v>
      </c>
      <c r="K52" s="30">
        <v>141683.98976480431</v>
      </c>
      <c r="L52" s="30">
        <v>126124.49405675105</v>
      </c>
      <c r="M52" s="31">
        <v>144.80453883253156</v>
      </c>
      <c r="N52" s="32">
        <v>76109.265610378585</v>
      </c>
      <c r="O52" s="32">
        <v>66876.817094561586</v>
      </c>
      <c r="P52" s="33">
        <v>185.21630006184597</v>
      </c>
      <c r="Q52" s="34">
        <v>97349.687312506227</v>
      </c>
      <c r="R52" s="34">
        <v>86072.97094071543</v>
      </c>
      <c r="S52" s="35">
        <v>219.10112866704691</v>
      </c>
      <c r="T52" s="36">
        <v>115159.55322739984</v>
      </c>
      <c r="U52" s="36">
        <v>102168.74017148465</v>
      </c>
      <c r="V52" s="37">
        <v>259.74251873796891</v>
      </c>
      <c r="W52" s="38">
        <v>136520.66784867647</v>
      </c>
      <c r="X52" s="38">
        <v>121473.97094071542</v>
      </c>
    </row>
    <row r="53" spans="1:24" x14ac:dyDescent="0.3">
      <c r="A53" s="24" t="s">
        <v>15</v>
      </c>
      <c r="B53" s="25" t="s">
        <v>62</v>
      </c>
      <c r="C53" s="25">
        <v>4</v>
      </c>
      <c r="D53" s="25">
        <v>20</v>
      </c>
      <c r="E53" s="25">
        <f>_xlfn.XLOOKUP(B53,'[1]Standard Configuration'!$B$5:$B$135,'[1]Standard Configuration'!$F$5:$F$135)</f>
        <v>130</v>
      </c>
      <c r="F53" s="26">
        <v>80</v>
      </c>
      <c r="G53" s="27">
        <v>3.9625536278502347</v>
      </c>
      <c r="H53" s="28">
        <v>2082.7181867980835</v>
      </c>
      <c r="I53" s="28">
        <v>1816.1450669048838</v>
      </c>
      <c r="J53" s="29">
        <v>7.5773536506139587</v>
      </c>
      <c r="K53" s="30">
        <v>3982.6570787626965</v>
      </c>
      <c r="L53" s="30">
        <v>3525.2963685124191</v>
      </c>
      <c r="M53" s="31">
        <v>18.18885386425686</v>
      </c>
      <c r="N53" s="32">
        <v>9560.0615910534052</v>
      </c>
      <c r="O53" s="32">
        <v>8573.8373745971894</v>
      </c>
      <c r="P53" s="33">
        <v>51.167636370167017</v>
      </c>
      <c r="Q53" s="34">
        <v>26893.709676159779</v>
      </c>
      <c r="R53" s="34">
        <v>24239.221989981812</v>
      </c>
      <c r="S53" s="35">
        <v>14.086303036833685</v>
      </c>
      <c r="T53" s="36">
        <v>7403.7608761597839</v>
      </c>
      <c r="U53" s="36">
        <v>6625.0681438279598</v>
      </c>
      <c r="V53" s="37">
        <v>18.60147324959965</v>
      </c>
      <c r="W53" s="38">
        <v>9776.9343399895752</v>
      </c>
      <c r="X53" s="38">
        <v>8769.8373745971912</v>
      </c>
    </row>
    <row r="54" spans="1:24" x14ac:dyDescent="0.3">
      <c r="A54" s="24" t="s">
        <v>15</v>
      </c>
      <c r="B54" s="25" t="s">
        <v>63</v>
      </c>
      <c r="C54" s="25">
        <v>8</v>
      </c>
      <c r="D54" s="25">
        <v>40</v>
      </c>
      <c r="E54" s="25">
        <f>_xlfn.XLOOKUP(B54,'[1]Standard Configuration'!$B$5:$B$135,'[1]Standard Configuration'!$F$5:$F$135)</f>
        <v>160</v>
      </c>
      <c r="F54" s="26">
        <v>100</v>
      </c>
      <c r="G54" s="27">
        <v>7.6806319328757287</v>
      </c>
      <c r="H54" s="28">
        <v>4036.940143919483</v>
      </c>
      <c r="I54" s="28">
        <v>3525.6762641884179</v>
      </c>
      <c r="J54" s="29">
        <v>13.671031920791094</v>
      </c>
      <c r="K54" s="30">
        <v>7185.4943775677984</v>
      </c>
      <c r="L54" s="30">
        <v>6361.6850056046396</v>
      </c>
      <c r="M54" s="31">
        <v>24.493900254388734</v>
      </c>
      <c r="N54" s="32">
        <v>12873.993973706718</v>
      </c>
      <c r="O54" s="32">
        <v>11512.214725726879</v>
      </c>
      <c r="P54" s="33">
        <v>64.905661483703156</v>
      </c>
      <c r="Q54" s="34">
        <v>34114.415675834382</v>
      </c>
      <c r="R54" s="34">
        <v>30708.368571880721</v>
      </c>
      <c r="S54" s="35">
        <v>27.92813075084263</v>
      </c>
      <c r="T54" s="36">
        <v>14679.025522642887</v>
      </c>
      <c r="U54" s="36">
        <v>13143.522418034572</v>
      </c>
      <c r="V54" s="37">
        <v>36.958471176374559</v>
      </c>
      <c r="W54" s="38">
        <v>19425.372450302471</v>
      </c>
      <c r="X54" s="38">
        <v>17433.060879573037</v>
      </c>
    </row>
    <row r="55" spans="1:24" x14ac:dyDescent="0.3">
      <c r="A55" s="24" t="s">
        <v>15</v>
      </c>
      <c r="B55" s="25" t="s">
        <v>64</v>
      </c>
      <c r="C55" s="25">
        <v>12</v>
      </c>
      <c r="D55" s="25">
        <v>60</v>
      </c>
      <c r="E55" s="25">
        <f>_xlfn.XLOOKUP(B55,'[1]Standard Configuration'!$B$5:$B$135,'[1]Standard Configuration'!$F$5:$F$135)</f>
        <v>190</v>
      </c>
      <c r="F55" s="26">
        <v>120</v>
      </c>
      <c r="G55" s="27">
        <v>11.398710237901222</v>
      </c>
      <c r="H55" s="28">
        <v>5991.1621010408817</v>
      </c>
      <c r="I55" s="28">
        <v>5235.2074614719522</v>
      </c>
      <c r="J55" s="29">
        <v>19.764710190968231</v>
      </c>
      <c r="K55" s="30">
        <v>10388.331676372902</v>
      </c>
      <c r="L55" s="30">
        <v>9198.0736426968597</v>
      </c>
      <c r="M55" s="31">
        <v>28.211978559414224</v>
      </c>
      <c r="N55" s="32">
        <v>14828.215930828117</v>
      </c>
      <c r="O55" s="32">
        <v>13221.745923010414</v>
      </c>
      <c r="P55" s="33">
        <v>68.623739788728656</v>
      </c>
      <c r="Q55" s="34">
        <v>36068.637632955782</v>
      </c>
      <c r="R55" s="34">
        <v>32417.899769164258</v>
      </c>
      <c r="S55" s="35">
        <v>34.176174776908312</v>
      </c>
      <c r="T55" s="36">
        <v>17962.997462743009</v>
      </c>
      <c r="U55" s="36">
        <v>16054.822846087338</v>
      </c>
      <c r="V55" s="37">
        <v>39.944749244993424</v>
      </c>
      <c r="W55" s="38">
        <v>20994.960203168543</v>
      </c>
      <c r="X55" s="38">
        <v>18794.976692241184</v>
      </c>
    </row>
    <row r="56" spans="1:24" x14ac:dyDescent="0.3">
      <c r="A56" s="24" t="s">
        <v>15</v>
      </c>
      <c r="B56" s="25" t="s">
        <v>65</v>
      </c>
      <c r="C56" s="25">
        <v>24</v>
      </c>
      <c r="D56" s="25">
        <v>120</v>
      </c>
      <c r="E56" s="25">
        <f>_xlfn.XLOOKUP(B56,'[1]Standard Configuration'!$B$5:$B$135,'[1]Standard Configuration'!$F$5:$F$135)</f>
        <v>270</v>
      </c>
      <c r="F56" s="26">
        <v>190</v>
      </c>
      <c r="G56" s="27">
        <v>22.593691040115161</v>
      </c>
      <c r="H56" s="28">
        <v>11875.244010684528</v>
      </c>
      <c r="I56" s="28">
        <v>10381.570031592779</v>
      </c>
      <c r="J56" s="29">
        <v>38.004999114362178</v>
      </c>
      <c r="K56" s="30">
        <v>19975.427534508759</v>
      </c>
      <c r="L56" s="30">
        <v>17689.470575703301</v>
      </c>
      <c r="M56" s="31">
        <v>39.406959361628161</v>
      </c>
      <c r="N56" s="32">
        <v>20712.297840471761</v>
      </c>
      <c r="O56" s="32">
        <v>18368.108493131243</v>
      </c>
      <c r="P56" s="33">
        <v>79.81872059094259</v>
      </c>
      <c r="Q56" s="34">
        <v>41952.719542599421</v>
      </c>
      <c r="R56" s="34">
        <v>37564.262339285087</v>
      </c>
      <c r="S56" s="35">
        <v>68.148620118129358</v>
      </c>
      <c r="T56" s="36">
        <v>35818.914734088787</v>
      </c>
      <c r="U56" s="36">
        <v>32020.800800823548</v>
      </c>
      <c r="V56" s="37">
        <v>79.68576905429957</v>
      </c>
      <c r="W56" s="38">
        <v>41882.840214939853</v>
      </c>
      <c r="X56" s="38">
        <v>37501.108493131243</v>
      </c>
    </row>
    <row r="57" spans="1:24" x14ac:dyDescent="0.3">
      <c r="A57" s="24" t="s">
        <v>15</v>
      </c>
      <c r="B57" s="25" t="s">
        <v>66</v>
      </c>
      <c r="C57" s="25">
        <v>40</v>
      </c>
      <c r="D57" s="25">
        <v>200</v>
      </c>
      <c r="E57" s="25">
        <f>_xlfn.XLOOKUP(B57,'[1]Standard Configuration'!$B$5:$B$135,'[1]Standard Configuration'!$F$5:$F$135)</f>
        <v>380</v>
      </c>
      <c r="F57" s="26">
        <v>270</v>
      </c>
      <c r="G57" s="27">
        <v>58.497227460918964</v>
      </c>
      <c r="H57" s="28">
        <v>30746.142753459004</v>
      </c>
      <c r="I57" s="28">
        <v>26900.785916685949</v>
      </c>
      <c r="J57" s="29">
        <v>100.98400097435611</v>
      </c>
      <c r="K57" s="30">
        <v>53077.190912121572</v>
      </c>
      <c r="L57" s="30">
        <v>47065.154934068683</v>
      </c>
      <c r="M57" s="31">
        <v>75.310495782431971</v>
      </c>
      <c r="N57" s="32">
        <v>39583.196583246237</v>
      </c>
      <c r="O57" s="32">
        <v>34887.324378224403</v>
      </c>
      <c r="P57" s="33">
        <v>115.72225701174641</v>
      </c>
      <c r="Q57" s="34">
        <v>60823.618285373916</v>
      </c>
      <c r="R57" s="34">
        <v>54083.478224378261</v>
      </c>
      <c r="S57" s="35">
        <v>134.42210925760926</v>
      </c>
      <c r="T57" s="36">
        <v>70652.260625799419</v>
      </c>
      <c r="U57" s="36">
        <v>62966.170532070566</v>
      </c>
      <c r="V57" s="37">
        <v>168.28993431671094</v>
      </c>
      <c r="W57" s="38">
        <v>88453.189476863263</v>
      </c>
      <c r="X57" s="38">
        <v>79053.862839762878</v>
      </c>
    </row>
    <row r="58" spans="1:24" x14ac:dyDescent="0.3">
      <c r="A58" s="24" t="s">
        <v>15</v>
      </c>
      <c r="B58" s="25" t="s">
        <v>67</v>
      </c>
      <c r="C58" s="25">
        <v>48</v>
      </c>
      <c r="D58" s="25">
        <v>240</v>
      </c>
      <c r="E58" s="25">
        <f>_xlfn.XLOOKUP(B58,'[1]Standard Configuration'!$B$5:$B$135,'[1]Standard Configuration'!$F$5:$F$135)</f>
        <v>440</v>
      </c>
      <c r="F58" s="26">
        <v>320</v>
      </c>
      <c r="G58" s="27">
        <v>70.180374598247766</v>
      </c>
      <c r="H58" s="28">
        <v>36886.804888839026</v>
      </c>
      <c r="I58" s="28">
        <v>32273.835508715038</v>
      </c>
      <c r="J58" s="29">
        <v>120.900364447995</v>
      </c>
      <c r="K58" s="30">
        <v>63545.231553866164</v>
      </c>
      <c r="L58" s="30">
        <v>56347.511965906473</v>
      </c>
      <c r="M58" s="31">
        <v>86.993642919760774</v>
      </c>
      <c r="N58" s="32">
        <v>45723.858718626259</v>
      </c>
      <c r="O58" s="32">
        <v>40260.373970253502</v>
      </c>
      <c r="P58" s="33">
        <v>127.40540414907521</v>
      </c>
      <c r="Q58" s="34">
        <v>66964.28042075393</v>
      </c>
      <c r="R58" s="34">
        <v>59456.527816407346</v>
      </c>
      <c r="S58" s="35">
        <v>161.29023275427619</v>
      </c>
      <c r="T58" s="36">
        <v>84774.146335647558</v>
      </c>
      <c r="U58" s="36">
        <v>75552.297047176573</v>
      </c>
      <c r="V58" s="37">
        <v>201.93162282519816</v>
      </c>
      <c r="W58" s="38">
        <v>106135.26095692416</v>
      </c>
      <c r="X58" s="38">
        <v>94857.527816407339</v>
      </c>
    </row>
    <row r="59" spans="1:24" x14ac:dyDescent="0.3">
      <c r="A59" s="24" t="s">
        <v>15</v>
      </c>
      <c r="B59" s="25" t="s">
        <v>68</v>
      </c>
      <c r="C59" s="25">
        <v>1</v>
      </c>
      <c r="D59" s="25">
        <v>6</v>
      </c>
      <c r="E59" s="25">
        <f>_xlfn.XLOOKUP(B59,'[1]Standard Configuration'!$B$5:$B$135,'[1]Standard Configuration'!$F$5:$F$135)</f>
        <v>110</v>
      </c>
      <c r="F59" s="26">
        <v>60</v>
      </c>
      <c r="G59" s="27">
        <v>1.2208002781247733</v>
      </c>
      <c r="H59" s="28">
        <v>641.6526261823808</v>
      </c>
      <c r="I59" s="28">
        <v>556.03570026419743</v>
      </c>
      <c r="J59" s="29">
        <v>3.0844597423778577</v>
      </c>
      <c r="K59" s="30">
        <v>1621.1920405938019</v>
      </c>
      <c r="L59" s="30">
        <v>1433.3706557178866</v>
      </c>
      <c r="M59" s="31">
        <v>8.3339503963280848</v>
      </c>
      <c r="N59" s="32">
        <v>4380.3243283100419</v>
      </c>
      <c r="O59" s="32">
        <v>3934.8818541103506</v>
      </c>
      <c r="P59" s="33">
        <v>24.823341649283169</v>
      </c>
      <c r="Q59" s="34">
        <v>13047.148370863233</v>
      </c>
      <c r="R59" s="34">
        <v>11767.57416180266</v>
      </c>
      <c r="S59" s="35">
        <v>3.7517376303706369</v>
      </c>
      <c r="T59" s="36">
        <v>1971.9132985228066</v>
      </c>
      <c r="U59" s="36">
        <v>1758.2664694949663</v>
      </c>
      <c r="V59" s="37">
        <v>4.8805301835621266</v>
      </c>
      <c r="W59" s="38">
        <v>2565.2066644802535</v>
      </c>
      <c r="X59" s="38">
        <v>2294.4587771872748</v>
      </c>
    </row>
    <row r="60" spans="1:24" x14ac:dyDescent="0.3">
      <c r="A60" s="24" t="s">
        <v>15</v>
      </c>
      <c r="B60" s="25" t="s">
        <v>69</v>
      </c>
      <c r="C60" s="25">
        <v>2</v>
      </c>
      <c r="D60" s="25">
        <v>12</v>
      </c>
      <c r="E60" s="25">
        <f>_xlfn.XLOOKUP(B60,'[1]Standard Configuration'!$B$5:$B$135,'[1]Standard Configuration'!$F$5:$F$135)</f>
        <v>120</v>
      </c>
      <c r="F60" s="26">
        <v>70</v>
      </c>
      <c r="G60" s="27">
        <v>2.2378711205622626</v>
      </c>
      <c r="H60" s="28">
        <v>1176.2250609675252</v>
      </c>
      <c r="I60" s="28">
        <v>1023.2265091772701</v>
      </c>
      <c r="J60" s="29">
        <v>4.685244104318893</v>
      </c>
      <c r="K60" s="30">
        <v>2462.5643012300102</v>
      </c>
      <c r="L60" s="30">
        <v>2177.8335800155742</v>
      </c>
      <c r="M60" s="31">
        <v>9.3510212387655738</v>
      </c>
      <c r="N60" s="32">
        <v>4914.8967630951856</v>
      </c>
      <c r="O60" s="32">
        <v>4402.072663023424</v>
      </c>
      <c r="P60" s="33">
        <v>25.840412491720659</v>
      </c>
      <c r="Q60" s="34">
        <v>13581.720805648378</v>
      </c>
      <c r="R60" s="34">
        <v>12234.764970715731</v>
      </c>
      <c r="S60" s="35">
        <v>7.2997458250539875</v>
      </c>
      <c r="T60" s="36">
        <v>3836.7464056483759</v>
      </c>
      <c r="U60" s="36">
        <v>3427.6880476388083</v>
      </c>
      <c r="V60" s="37">
        <v>9.5573309314369688</v>
      </c>
      <c r="W60" s="38">
        <v>5023.3331375632706</v>
      </c>
      <c r="X60" s="38">
        <v>4500.0726630234249</v>
      </c>
    </row>
    <row r="61" spans="1:24" x14ac:dyDescent="0.3">
      <c r="A61" s="24" t="s">
        <v>15</v>
      </c>
      <c r="B61" s="25" t="s">
        <v>70</v>
      </c>
      <c r="C61" s="25">
        <v>4</v>
      </c>
      <c r="D61" s="25">
        <v>24</v>
      </c>
      <c r="E61" s="25">
        <f>_xlfn.XLOOKUP(B61,'[1]Standard Configuration'!$B$5:$B$135,'[1]Standard Configuration'!$F$5:$F$135)</f>
        <v>140</v>
      </c>
      <c r="F61" s="26">
        <v>80</v>
      </c>
      <c r="G61" s="27">
        <v>4.2312669182997853</v>
      </c>
      <c r="H61" s="28">
        <v>2223.9538922583665</v>
      </c>
      <c r="I61" s="28">
        <v>1939.8391487331903</v>
      </c>
      <c r="J61" s="29">
        <v>7.8868128282009646</v>
      </c>
      <c r="K61" s="30">
        <v>4145.3088225024267</v>
      </c>
      <c r="L61" s="30">
        <v>3666.7594286109502</v>
      </c>
      <c r="M61" s="31">
        <v>18.45756715470641</v>
      </c>
      <c r="N61" s="32">
        <v>9701.2972965136869</v>
      </c>
      <c r="O61" s="32">
        <v>8697.5314564254968</v>
      </c>
      <c r="P61" s="33">
        <v>51.436349660616578</v>
      </c>
      <c r="Q61" s="34">
        <v>27034.945381620069</v>
      </c>
      <c r="R61" s="34">
        <v>24362.916071810116</v>
      </c>
      <c r="S61" s="35">
        <v>14.355016327283236</v>
      </c>
      <c r="T61" s="36">
        <v>7544.9965816200693</v>
      </c>
      <c r="U61" s="36">
        <v>6748.7622256562654</v>
      </c>
      <c r="V61" s="37">
        <v>18.870186540049197</v>
      </c>
      <c r="W61" s="38">
        <v>9918.1700454498568</v>
      </c>
      <c r="X61" s="38">
        <v>8893.5314564254986</v>
      </c>
    </row>
    <row r="62" spans="1:24" x14ac:dyDescent="0.3">
      <c r="A62" s="24" t="s">
        <v>15</v>
      </c>
      <c r="B62" s="25" t="s">
        <v>71</v>
      </c>
      <c r="C62" s="25">
        <v>6</v>
      </c>
      <c r="D62" s="25">
        <v>36</v>
      </c>
      <c r="E62" s="25">
        <f>_xlfn.XLOOKUP(B62,'[1]Standard Configuration'!$B$5:$B$135,'[1]Standard Configuration'!$F$5:$F$135)</f>
        <v>160</v>
      </c>
      <c r="F62" s="26">
        <v>90</v>
      </c>
      <c r="G62" s="27">
        <v>6.2246627160373063</v>
      </c>
      <c r="H62" s="28">
        <v>3271.6827235492078</v>
      </c>
      <c r="I62" s="28">
        <v>2856.4517882891105</v>
      </c>
      <c r="J62" s="29">
        <v>11.088381552083037</v>
      </c>
      <c r="K62" s="30">
        <v>5828.0533437748445</v>
      </c>
      <c r="L62" s="30">
        <v>5155.6852772063266</v>
      </c>
      <c r="M62" s="31">
        <v>23.037931037550312</v>
      </c>
      <c r="N62" s="32">
        <v>12108.736553336443</v>
      </c>
      <c r="O62" s="32">
        <v>10842.990249827573</v>
      </c>
      <c r="P62" s="33">
        <v>63.449692266864723</v>
      </c>
      <c r="Q62" s="34">
        <v>33349.158255464092</v>
      </c>
      <c r="R62" s="34">
        <v>30039.14409598141</v>
      </c>
      <c r="S62" s="35">
        <v>21.410286829512486</v>
      </c>
      <c r="T62" s="36">
        <v>11253.246757591764</v>
      </c>
      <c r="U62" s="36">
        <v>10069.836403673724</v>
      </c>
      <c r="V62" s="37">
        <v>28.183042148661432</v>
      </c>
      <c r="W62" s="38">
        <v>14813.006953336448</v>
      </c>
      <c r="X62" s="38">
        <v>13286.990249827571</v>
      </c>
    </row>
    <row r="63" spans="1:24" x14ac:dyDescent="0.3">
      <c r="A63" s="24" t="s">
        <v>15</v>
      </c>
      <c r="B63" s="25" t="s">
        <v>72</v>
      </c>
      <c r="C63" s="25">
        <v>8</v>
      </c>
      <c r="D63" s="25">
        <v>48</v>
      </c>
      <c r="E63" s="25">
        <f>_xlfn.XLOOKUP(B63,'[1]Standard Configuration'!$B$5:$B$135,'[1]Standard Configuration'!$F$5:$F$135)</f>
        <v>170</v>
      </c>
      <c r="F63" s="26">
        <v>110</v>
      </c>
      <c r="G63" s="27">
        <v>8.2588044009122861</v>
      </c>
      <c r="H63" s="28">
        <v>4340.8275931194976</v>
      </c>
      <c r="I63" s="28">
        <v>3790.8334061152564</v>
      </c>
      <c r="J63" s="29">
        <v>14.249204388827653</v>
      </c>
      <c r="K63" s="30">
        <v>7489.3818267678143</v>
      </c>
      <c r="L63" s="30">
        <v>6626.8421475314781</v>
      </c>
      <c r="M63" s="31">
        <v>25.07207272242529</v>
      </c>
      <c r="N63" s="32">
        <v>13177.881422906734</v>
      </c>
      <c r="O63" s="32">
        <v>11777.371867653716</v>
      </c>
      <c r="P63" s="33">
        <v>65.483833951739712</v>
      </c>
      <c r="Q63" s="34">
        <v>34418.303125034392</v>
      </c>
      <c r="R63" s="34">
        <v>30973.525713807558</v>
      </c>
      <c r="S63" s="35">
        <v>28.506303218879193</v>
      </c>
      <c r="T63" s="36">
        <v>14982.912971842905</v>
      </c>
      <c r="U63" s="36">
        <v>13408.679559961409</v>
      </c>
      <c r="V63" s="37">
        <v>37.536643644411114</v>
      </c>
      <c r="W63" s="38">
        <v>19729.259899502478</v>
      </c>
      <c r="X63" s="38">
        <v>17698.218021499873</v>
      </c>
    </row>
    <row r="64" spans="1:24" x14ac:dyDescent="0.3">
      <c r="A64" s="24" t="s">
        <v>15</v>
      </c>
      <c r="B64" s="25" t="s">
        <v>73</v>
      </c>
      <c r="C64" s="25">
        <v>12</v>
      </c>
      <c r="D64" s="25">
        <v>72</v>
      </c>
      <c r="E64" s="25">
        <f>_xlfn.XLOOKUP(B64,'[1]Standard Configuration'!$B$5:$B$135,'[1]Standard Configuration'!$F$5:$F$135)</f>
        <v>210</v>
      </c>
      <c r="F64" s="26">
        <v>130</v>
      </c>
      <c r="G64" s="27">
        <v>12.245595996387328</v>
      </c>
      <c r="H64" s="28">
        <v>6436.2852557011793</v>
      </c>
      <c r="I64" s="28">
        <v>5624.0586852270972</v>
      </c>
      <c r="J64" s="29">
        <v>20.652341836591791</v>
      </c>
      <c r="K64" s="30">
        <v>10854.870869312645</v>
      </c>
      <c r="L64" s="30">
        <v>9604.693844722231</v>
      </c>
      <c r="M64" s="31">
        <v>29.05886431790033</v>
      </c>
      <c r="N64" s="32">
        <v>15273.339085488415</v>
      </c>
      <c r="O64" s="32">
        <v>13610.597146765554</v>
      </c>
      <c r="P64" s="33">
        <v>69.470625547214738</v>
      </c>
      <c r="Q64" s="34">
        <v>36513.760787616069</v>
      </c>
      <c r="R64" s="34">
        <v>32806.750992919406</v>
      </c>
      <c r="S64" s="35">
        <v>35.023060535394421</v>
      </c>
      <c r="T64" s="36">
        <v>18408.120617403307</v>
      </c>
      <c r="U64" s="36">
        <v>16443.67406984248</v>
      </c>
      <c r="V64" s="37">
        <v>40.791635003479534</v>
      </c>
      <c r="W64" s="38">
        <v>21440.08335782884</v>
      </c>
      <c r="X64" s="38">
        <v>19183.827915996328</v>
      </c>
    </row>
    <row r="65" spans="1:24" x14ac:dyDescent="0.3">
      <c r="A65" s="24" t="s">
        <v>15</v>
      </c>
      <c r="B65" s="25" t="s">
        <v>74</v>
      </c>
      <c r="C65" s="25">
        <v>16</v>
      </c>
      <c r="D65" s="25">
        <v>96</v>
      </c>
      <c r="E65" s="25">
        <f>_xlfn.XLOOKUP(B65,'[1]Standard Configuration'!$B$5:$B$135,'[1]Standard Configuration'!$F$5:$F$135)</f>
        <v>240</v>
      </c>
      <c r="F65" s="26">
        <v>160</v>
      </c>
      <c r="G65" s="27">
        <v>16.273133478999831</v>
      </c>
      <c r="H65" s="28">
        <v>8553.1589565623108</v>
      </c>
      <c r="I65" s="28">
        <v>7475.0529426091616</v>
      </c>
      <c r="J65" s="29">
        <v>27.014733397218482</v>
      </c>
      <c r="K65" s="30">
        <v>14198.943873578031</v>
      </c>
      <c r="L65" s="30">
        <v>12564.776563642758</v>
      </c>
      <c r="M65" s="31">
        <v>33.086401800512839</v>
      </c>
      <c r="N65" s="32">
        <v>17390.212786349544</v>
      </c>
      <c r="O65" s="32">
        <v>15461.591404147623</v>
      </c>
      <c r="P65" s="33">
        <v>73.498163029827268</v>
      </c>
      <c r="Q65" s="34">
        <v>38630.634488477212</v>
      </c>
      <c r="R65" s="34">
        <v>34657.745250301472</v>
      </c>
      <c r="S65" s="35">
        <v>46.643086197675956</v>
      </c>
      <c r="T65" s="36">
        <v>24515.606105498482</v>
      </c>
      <c r="U65" s="36">
        <v>21901.206788763011</v>
      </c>
      <c r="V65" s="37">
        <v>54.33451882178943</v>
      </c>
      <c r="W65" s="38">
        <v>28558.223092732522</v>
      </c>
      <c r="X65" s="38">
        <v>25554.745250301468</v>
      </c>
    </row>
    <row r="66" spans="1:24" x14ac:dyDescent="0.3">
      <c r="A66" s="24" t="s">
        <v>15</v>
      </c>
      <c r="B66" s="25" t="s">
        <v>75</v>
      </c>
      <c r="C66" s="25">
        <v>24</v>
      </c>
      <c r="D66" s="25">
        <v>144</v>
      </c>
      <c r="E66" s="25">
        <f>_xlfn.XLOOKUP(B66,'[1]Standard Configuration'!$B$5:$B$135,'[1]Standard Configuration'!$F$5:$F$135)</f>
        <v>310</v>
      </c>
      <c r="F66" s="26">
        <v>210</v>
      </c>
      <c r="G66" s="27">
        <v>24.287462557087373</v>
      </c>
      <c r="H66" s="28">
        <v>12765.490320005125</v>
      </c>
      <c r="I66" s="28">
        <v>11159.272479103069</v>
      </c>
      <c r="J66" s="29">
        <v>39.780262405609314</v>
      </c>
      <c r="K66" s="30">
        <v>20908.505920388252</v>
      </c>
      <c r="L66" s="30">
        <v>18502.710979754032</v>
      </c>
      <c r="M66" s="31">
        <v>41.10073087860038</v>
      </c>
      <c r="N66" s="32">
        <v>21602.544149792357</v>
      </c>
      <c r="O66" s="32">
        <v>19145.810940641528</v>
      </c>
      <c r="P66" s="33">
        <v>81.512492107914809</v>
      </c>
      <c r="Q66" s="34">
        <v>42842.965851920017</v>
      </c>
      <c r="R66" s="34">
        <v>38341.964786795375</v>
      </c>
      <c r="S66" s="35">
        <v>69.842391635101578</v>
      </c>
      <c r="T66" s="36">
        <v>36709.161043409389</v>
      </c>
      <c r="U66" s="36">
        <v>32798.503248333836</v>
      </c>
      <c r="V66" s="37">
        <v>81.379540571271789</v>
      </c>
      <c r="W66" s="38">
        <v>42773.086524260449</v>
      </c>
      <c r="X66" s="38">
        <v>38278.810940641531</v>
      </c>
    </row>
    <row r="67" spans="1:24" x14ac:dyDescent="0.3">
      <c r="A67" s="24" t="s">
        <v>15</v>
      </c>
      <c r="B67" s="25" t="s">
        <v>76</v>
      </c>
      <c r="C67" s="25">
        <v>32</v>
      </c>
      <c r="D67" s="25">
        <v>192</v>
      </c>
      <c r="E67" s="25">
        <f>_xlfn.XLOOKUP(B67,'[1]Standard Configuration'!$B$5:$B$135,'[1]Standard Configuration'!$F$5:$F$135)</f>
        <v>370</v>
      </c>
      <c r="F67" s="26">
        <v>270</v>
      </c>
      <c r="G67" s="27">
        <v>50.570761442910033</v>
      </c>
      <c r="H67" s="28">
        <v>26579.992214393511</v>
      </c>
      <c r="I67" s="28">
        <v>23252.075670160328</v>
      </c>
      <c r="J67" s="29">
        <v>84.824318620037175</v>
      </c>
      <c r="K67" s="30">
        <v>44583.661866691538</v>
      </c>
      <c r="L67" s="30">
        <v>39507.137247734376</v>
      </c>
      <c r="M67" s="31">
        <v>67.384029764423033</v>
      </c>
      <c r="N67" s="32">
        <v>35417.046044180745</v>
      </c>
      <c r="O67" s="32">
        <v>31238.614131698785</v>
      </c>
      <c r="P67" s="33">
        <v>107.79579099373748</v>
      </c>
      <c r="Q67" s="34">
        <v>56657.467746308415</v>
      </c>
      <c r="R67" s="34">
        <v>50434.767977852636</v>
      </c>
      <c r="S67" s="35">
        <v>111.3106668802623</v>
      </c>
      <c r="T67" s="36">
        <v>58504.886512265868</v>
      </c>
      <c r="U67" s="36">
        <v>52104.383362468034</v>
      </c>
      <c r="V67" s="37">
        <v>138.40492692754364</v>
      </c>
      <c r="W67" s="38">
        <v>72745.62959311693</v>
      </c>
      <c r="X67" s="38">
        <v>64974.537208621856</v>
      </c>
    </row>
    <row r="68" spans="1:24" x14ac:dyDescent="0.3">
      <c r="A68" s="24" t="s">
        <v>15</v>
      </c>
      <c r="B68" s="25" t="s">
        <v>77</v>
      </c>
      <c r="C68" s="25">
        <v>40</v>
      </c>
      <c r="D68" s="25">
        <v>240</v>
      </c>
      <c r="E68" s="25">
        <f>_xlfn.XLOOKUP(B68,'[1]Standard Configuration'!$B$5:$B$135,'[1]Standard Configuration'!$F$5:$F$135)</f>
        <v>440</v>
      </c>
      <c r="F68" s="26">
        <v>320</v>
      </c>
      <c r="G68" s="27">
        <v>63.142146501147003</v>
      </c>
      <c r="H68" s="28">
        <v>33187.512201002857</v>
      </c>
      <c r="I68" s="28">
        <v>29033.998875727517</v>
      </c>
      <c r="J68" s="29">
        <v>105.66966590172161</v>
      </c>
      <c r="K68" s="30">
        <v>55539.976397944876</v>
      </c>
      <c r="L68" s="30">
        <v>49216.13687138047</v>
      </c>
      <c r="M68" s="31">
        <v>79.955414822660003</v>
      </c>
      <c r="N68" s="32">
        <v>42024.566030790098</v>
      </c>
      <c r="O68" s="32">
        <v>37020.537337265981</v>
      </c>
      <c r="P68" s="33">
        <v>120.36717605197441</v>
      </c>
      <c r="Q68" s="34">
        <v>63264.987732917754</v>
      </c>
      <c r="R68" s="34">
        <v>56216.691183419825</v>
      </c>
      <c r="S68" s="35">
        <v>139.06702829783731</v>
      </c>
      <c r="T68" s="36">
        <v>73093.630073343287</v>
      </c>
      <c r="U68" s="36">
        <v>65099.38349111213</v>
      </c>
      <c r="V68" s="37">
        <v>172.93485335693896</v>
      </c>
      <c r="W68" s="38">
        <v>90894.558924407116</v>
      </c>
      <c r="X68" s="38">
        <v>81187.075798804435</v>
      </c>
    </row>
    <row r="69" spans="1:24" x14ac:dyDescent="0.3">
      <c r="A69" s="24" t="s">
        <v>15</v>
      </c>
      <c r="B69" s="25" t="s">
        <v>78</v>
      </c>
      <c r="C69" s="25">
        <v>48</v>
      </c>
      <c r="D69" s="25">
        <v>288</v>
      </c>
      <c r="E69" s="25">
        <f>_xlfn.XLOOKUP(B69,'[1]Standard Configuration'!$B$5:$B$135,'[1]Standard Configuration'!$F$5:$F$135)</f>
        <v>510</v>
      </c>
      <c r="F69" s="26">
        <v>370</v>
      </c>
      <c r="G69" s="27">
        <v>75.713531559383952</v>
      </c>
      <c r="H69" s="28">
        <v>39795.032187612211</v>
      </c>
      <c r="I69" s="28">
        <v>34815.92208129471</v>
      </c>
      <c r="J69" s="29">
        <v>126.5150131834061</v>
      </c>
      <c r="K69" s="30">
        <v>66496.290929198236</v>
      </c>
      <c r="L69" s="30">
        <v>58925.136495026563</v>
      </c>
      <c r="M69" s="31">
        <v>92.526799880896959</v>
      </c>
      <c r="N69" s="32">
        <v>48632.086017399444</v>
      </c>
      <c r="O69" s="32">
        <v>42802.460542833171</v>
      </c>
      <c r="P69" s="33">
        <v>132.93856111021137</v>
      </c>
      <c r="Q69" s="34">
        <v>69872.507719527101</v>
      </c>
      <c r="R69" s="34">
        <v>61998.614388987022</v>
      </c>
      <c r="S69" s="35">
        <v>166.8233897154123</v>
      </c>
      <c r="T69" s="36">
        <v>87682.373634420699</v>
      </c>
      <c r="U69" s="36">
        <v>78094.383619756249</v>
      </c>
      <c r="V69" s="37">
        <v>207.46477978633436</v>
      </c>
      <c r="W69" s="38">
        <v>109043.48825569733</v>
      </c>
      <c r="X69" s="38">
        <v>97399.614388986971</v>
      </c>
    </row>
    <row r="70" spans="1:24" x14ac:dyDescent="0.3">
      <c r="A70" s="24" t="s">
        <v>15</v>
      </c>
      <c r="B70" s="25" t="s">
        <v>79</v>
      </c>
      <c r="C70" s="25">
        <v>64</v>
      </c>
      <c r="D70" s="25">
        <v>384</v>
      </c>
      <c r="E70" s="25">
        <f>_xlfn.XLOOKUP(B70,'[1]Standard Configuration'!$B$5:$B$135,'[1]Standard Configuration'!$F$5:$F$135)</f>
        <v>640</v>
      </c>
      <c r="F70" s="26">
        <v>480</v>
      </c>
      <c r="G70" s="27">
        <v>100.89704756299535</v>
      </c>
      <c r="H70" s="28">
        <v>53031.488199110354</v>
      </c>
      <c r="I70" s="28">
        <v>46397.53747069931</v>
      </c>
      <c r="J70" s="29">
        <v>168.16496185963754</v>
      </c>
      <c r="K70" s="30">
        <v>88387.50395342549</v>
      </c>
      <c r="L70" s="30">
        <v>78325.366764048551</v>
      </c>
      <c r="M70" s="31">
        <v>117.71031588450833</v>
      </c>
      <c r="N70" s="32">
        <v>61868.542028897573</v>
      </c>
      <c r="O70" s="32">
        <v>54384.075932237778</v>
      </c>
      <c r="P70" s="33">
        <v>158.12207711382277</v>
      </c>
      <c r="Q70" s="34">
        <v>83108.963731025244</v>
      </c>
      <c r="R70" s="34">
        <v>73580.229778391615</v>
      </c>
      <c r="S70" s="35">
        <v>222.37685843769984</v>
      </c>
      <c r="T70" s="36">
        <v>116881.27679485503</v>
      </c>
      <c r="U70" s="36">
        <v>104102.15285531471</v>
      </c>
      <c r="V70" s="37">
        <v>276.56537853226251</v>
      </c>
      <c r="W70" s="38">
        <v>145362.76295655718</v>
      </c>
      <c r="X70" s="38">
        <v>129842.46054762237</v>
      </c>
    </row>
    <row r="71" spans="1:24" x14ac:dyDescent="0.3">
      <c r="A71" s="24" t="s">
        <v>15</v>
      </c>
      <c r="B71" s="25" t="s">
        <v>80</v>
      </c>
      <c r="C71" s="25">
        <v>1</v>
      </c>
      <c r="D71" s="25">
        <v>8</v>
      </c>
      <c r="E71" s="25">
        <f>_xlfn.XLOOKUP(B71,'[1]Standard Configuration'!$B$5:$B$135,'[1]Standard Configuration'!$F$5:$F$135)</f>
        <v>120</v>
      </c>
      <c r="F71" s="26">
        <v>60</v>
      </c>
      <c r="G71" s="27">
        <v>1.3551569233495484</v>
      </c>
      <c r="H71" s="28">
        <v>712.27047891252266</v>
      </c>
      <c r="I71" s="28">
        <v>617.88274117835078</v>
      </c>
      <c r="J71" s="29">
        <v>3.2595622747400892</v>
      </c>
      <c r="K71" s="30">
        <v>1713.2259316033908</v>
      </c>
      <c r="L71" s="30">
        <v>1512.9866749022647</v>
      </c>
      <c r="M71" s="31">
        <v>8.4683070415528618</v>
      </c>
      <c r="N71" s="32">
        <v>4450.9421810401836</v>
      </c>
      <c r="O71" s="32">
        <v>3996.7288950245038</v>
      </c>
      <c r="P71" s="33">
        <v>24.957698294507946</v>
      </c>
      <c r="Q71" s="34">
        <v>13117.766223593375</v>
      </c>
      <c r="R71" s="34">
        <v>11829.421202716814</v>
      </c>
      <c r="S71" s="35">
        <v>3.8860942755954118</v>
      </c>
      <c r="T71" s="36">
        <v>2042.5311512529486</v>
      </c>
      <c r="U71" s="36">
        <v>1820.11351040912</v>
      </c>
      <c r="V71" s="37">
        <v>5.014886828786902</v>
      </c>
      <c r="W71" s="38">
        <v>2635.8245172103957</v>
      </c>
      <c r="X71" s="38">
        <v>2356.3058181014276</v>
      </c>
    </row>
    <row r="72" spans="1:24" x14ac:dyDescent="0.3">
      <c r="A72" s="24" t="s">
        <v>15</v>
      </c>
      <c r="B72" s="25" t="s">
        <v>81</v>
      </c>
      <c r="C72" s="25">
        <v>2</v>
      </c>
      <c r="D72" s="25">
        <v>16</v>
      </c>
      <c r="E72" s="25">
        <f>_xlfn.XLOOKUP(B72,'[1]Standard Configuration'!$B$5:$B$135,'[1]Standard Configuration'!$F$5:$F$135)</f>
        <v>130</v>
      </c>
      <c r="F72" s="26">
        <v>70</v>
      </c>
      <c r="G72" s="27">
        <v>2.5065844110118127</v>
      </c>
      <c r="H72" s="28">
        <v>1317.4607664278087</v>
      </c>
      <c r="I72" s="28">
        <v>1146.9205910055769</v>
      </c>
      <c r="J72" s="29">
        <v>4.9947032819058998</v>
      </c>
      <c r="K72" s="30">
        <v>2625.2160449697408</v>
      </c>
      <c r="L72" s="30">
        <v>2319.2966401141061</v>
      </c>
      <c r="M72" s="31">
        <v>9.6197345292151244</v>
      </c>
      <c r="N72" s="32">
        <v>5056.1324685554691</v>
      </c>
      <c r="O72" s="32">
        <v>4525.7667448517295</v>
      </c>
      <c r="P72" s="33">
        <v>26.109125782170207</v>
      </c>
      <c r="Q72" s="34">
        <v>13722.956511108659</v>
      </c>
      <c r="R72" s="34">
        <v>12358.45905254404</v>
      </c>
      <c r="S72" s="35">
        <v>7.5684591155035381</v>
      </c>
      <c r="T72" s="36">
        <v>3977.9821111086594</v>
      </c>
      <c r="U72" s="36">
        <v>3551.3821294671152</v>
      </c>
      <c r="V72" s="37">
        <v>9.8260442218865194</v>
      </c>
      <c r="W72" s="38">
        <v>5164.5688430235541</v>
      </c>
      <c r="X72" s="38">
        <v>4623.7667448517304</v>
      </c>
    </row>
    <row r="73" spans="1:24" x14ac:dyDescent="0.3">
      <c r="A73" s="24" t="s">
        <v>15</v>
      </c>
      <c r="B73" s="25" t="s">
        <v>82</v>
      </c>
      <c r="C73" s="25">
        <v>4</v>
      </c>
      <c r="D73" s="25">
        <v>32</v>
      </c>
      <c r="E73" s="25">
        <f>_xlfn.XLOOKUP(B73,'[1]Standard Configuration'!$B$5:$B$135,'[1]Standard Configuration'!$F$5:$F$135)</f>
        <v>150</v>
      </c>
      <c r="F73" s="26">
        <v>90</v>
      </c>
      <c r="G73" s="27">
        <v>4.8094393863363409</v>
      </c>
      <c r="H73" s="28">
        <v>2527.8413414583811</v>
      </c>
      <c r="I73" s="28">
        <v>2204.9962906600285</v>
      </c>
      <c r="J73" s="29">
        <v>8.4649852962375203</v>
      </c>
      <c r="K73" s="30">
        <v>4449.1962717024408</v>
      </c>
      <c r="L73" s="30">
        <v>3931.9165705377886</v>
      </c>
      <c r="M73" s="31">
        <v>19.035739622742966</v>
      </c>
      <c r="N73" s="32">
        <v>10005.184745713703</v>
      </c>
      <c r="O73" s="32">
        <v>8962.6885983523352</v>
      </c>
      <c r="P73" s="33">
        <v>52.014522128653127</v>
      </c>
      <c r="Q73" s="34">
        <v>27338.832830820083</v>
      </c>
      <c r="R73" s="34">
        <v>24628.073213736952</v>
      </c>
      <c r="S73" s="35">
        <v>14.933188795319795</v>
      </c>
      <c r="T73" s="36">
        <v>7848.8840308200843</v>
      </c>
      <c r="U73" s="36">
        <v>7013.9193675831048</v>
      </c>
      <c r="V73" s="37">
        <v>19.448359008085756</v>
      </c>
      <c r="W73" s="38">
        <v>10222.057494649873</v>
      </c>
      <c r="X73" s="38">
        <v>9158.6885983523371</v>
      </c>
    </row>
    <row r="74" spans="1:24" x14ac:dyDescent="0.3">
      <c r="A74" s="24" t="s">
        <v>15</v>
      </c>
      <c r="B74" s="25" t="s">
        <v>83</v>
      </c>
      <c r="C74" s="25">
        <v>6</v>
      </c>
      <c r="D74" s="25">
        <v>48</v>
      </c>
      <c r="E74" s="25">
        <f>_xlfn.XLOOKUP(B74,'[1]Standard Configuration'!$B$5:$B$135,'[1]Standard Configuration'!$F$5:$F$135)</f>
        <v>170</v>
      </c>
      <c r="F74" s="26">
        <v>110</v>
      </c>
      <c r="G74" s="27">
        <v>7.1122943616608696</v>
      </c>
      <c r="H74" s="28">
        <v>3738.221916488953</v>
      </c>
      <c r="I74" s="28">
        <v>3263.0719903144809</v>
      </c>
      <c r="J74" s="29">
        <v>11.935267310569143</v>
      </c>
      <c r="K74" s="30">
        <v>6273.1764984351412</v>
      </c>
      <c r="L74" s="30">
        <v>5544.5365009614716</v>
      </c>
      <c r="M74" s="31">
        <v>23.925562683173872</v>
      </c>
      <c r="N74" s="32">
        <v>12575.275746276189</v>
      </c>
      <c r="O74" s="32">
        <v>11249.610451852941</v>
      </c>
      <c r="P74" s="33">
        <v>64.337323912488287</v>
      </c>
      <c r="Q74" s="34">
        <v>33815.697448403851</v>
      </c>
      <c r="R74" s="34">
        <v>30445.764298006787</v>
      </c>
      <c r="S74" s="35">
        <v>22.297918475136047</v>
      </c>
      <c r="T74" s="36">
        <v>11719.785950531506</v>
      </c>
      <c r="U74" s="36">
        <v>10476.456605699095</v>
      </c>
      <c r="V74" s="37">
        <v>29.070673794284993</v>
      </c>
      <c r="W74" s="38">
        <v>15279.546146276192</v>
      </c>
      <c r="X74" s="38">
        <v>13693.610451852943</v>
      </c>
    </row>
    <row r="75" spans="1:24" x14ac:dyDescent="0.3">
      <c r="A75" s="24" t="s">
        <v>15</v>
      </c>
      <c r="B75" s="25" t="s">
        <v>84</v>
      </c>
      <c r="C75" s="25">
        <v>8</v>
      </c>
      <c r="D75" s="25">
        <v>64</v>
      </c>
      <c r="E75" s="25">
        <f>_xlfn.XLOOKUP(B75,'[1]Standard Configuration'!$B$5:$B$135,'[1]Standard Configuration'!$F$5:$F$135)</f>
        <v>190</v>
      </c>
      <c r="F75" s="26">
        <v>130</v>
      </c>
      <c r="G75" s="27">
        <v>9.4151493369853991</v>
      </c>
      <c r="H75" s="28">
        <v>4948.6024915195258</v>
      </c>
      <c r="I75" s="28">
        <v>4321.1476899689324</v>
      </c>
      <c r="J75" s="29">
        <v>15.405549324900765</v>
      </c>
      <c r="K75" s="30">
        <v>8097.1567251678416</v>
      </c>
      <c r="L75" s="30">
        <v>7157.1564313851541</v>
      </c>
      <c r="M75" s="31">
        <v>26.228417658498405</v>
      </c>
      <c r="N75" s="32">
        <v>13785.65632130676</v>
      </c>
      <c r="O75" s="32">
        <v>12307.686151507394</v>
      </c>
      <c r="P75" s="33">
        <v>66.640178887812837</v>
      </c>
      <c r="Q75" s="34">
        <v>35026.07802343442</v>
      </c>
      <c r="R75" s="34">
        <v>31503.839997661238</v>
      </c>
      <c r="S75" s="35">
        <v>29.662648154952301</v>
      </c>
      <c r="T75" s="36">
        <v>15590.687870242929</v>
      </c>
      <c r="U75" s="36">
        <v>13938.993843815082</v>
      </c>
      <c r="V75" s="37">
        <v>38.692988580484219</v>
      </c>
      <c r="W75" s="38">
        <v>20337.034797902506</v>
      </c>
      <c r="X75" s="38">
        <v>18228.532305353547</v>
      </c>
    </row>
    <row r="76" spans="1:24" x14ac:dyDescent="0.3">
      <c r="A76" s="24" t="s">
        <v>15</v>
      </c>
      <c r="B76" s="25" t="s">
        <v>85</v>
      </c>
      <c r="C76" s="25">
        <v>12</v>
      </c>
      <c r="D76" s="25">
        <v>96</v>
      </c>
      <c r="E76" s="25">
        <f>_xlfn.XLOOKUP(B76,'[1]Standard Configuration'!$B$5:$B$135,'[1]Standard Configuration'!$F$5:$F$135)</f>
        <v>240</v>
      </c>
      <c r="F76" s="26">
        <v>160</v>
      </c>
      <c r="G76" s="27">
        <v>13.980113400497002</v>
      </c>
      <c r="H76" s="28">
        <v>7347.9476033012243</v>
      </c>
      <c r="I76" s="28">
        <v>6419.5301110076107</v>
      </c>
      <c r="J76" s="29">
        <v>22.386859240701465</v>
      </c>
      <c r="K76" s="30">
        <v>11766.533216912689</v>
      </c>
      <c r="L76" s="30">
        <v>10400.165270502746</v>
      </c>
      <c r="M76" s="31">
        <v>30.793381722010004</v>
      </c>
      <c r="N76" s="32">
        <v>16185.001433088457</v>
      </c>
      <c r="O76" s="32">
        <v>14406.06857254607</v>
      </c>
      <c r="P76" s="33">
        <v>71.205142951324433</v>
      </c>
      <c r="Q76" s="34">
        <v>37425.423135216115</v>
      </c>
      <c r="R76" s="34">
        <v>33602.222418699916</v>
      </c>
      <c r="S76" s="35">
        <v>36.757577939504102</v>
      </c>
      <c r="T76" s="36">
        <v>19319.782965003353</v>
      </c>
      <c r="U76" s="36">
        <v>17239.145495622997</v>
      </c>
      <c r="V76" s="37">
        <v>42.526152407589208</v>
      </c>
      <c r="W76" s="38">
        <v>22351.74570542889</v>
      </c>
      <c r="X76" s="38">
        <v>19979.299341776845</v>
      </c>
    </row>
    <row r="77" spans="1:24" x14ac:dyDescent="0.3">
      <c r="A77" s="24" t="s">
        <v>15</v>
      </c>
      <c r="B77" s="25" t="s">
        <v>86</v>
      </c>
      <c r="C77" s="25">
        <v>16</v>
      </c>
      <c r="D77" s="25">
        <v>128</v>
      </c>
      <c r="E77" s="25">
        <f>_xlfn.XLOOKUP(B77,'[1]Standard Configuration'!$B$5:$B$135,'[1]Standard Configuration'!$F$5:$F$135)</f>
        <v>280</v>
      </c>
      <c r="F77" s="26">
        <v>200</v>
      </c>
      <c r="G77" s="27">
        <v>18.585823351146058</v>
      </c>
      <c r="H77" s="28">
        <v>9768.708753362369</v>
      </c>
      <c r="I77" s="28">
        <v>8535.6815103165136</v>
      </c>
      <c r="J77" s="29">
        <v>29.327423269364704</v>
      </c>
      <c r="K77" s="30">
        <v>15414.493670378088</v>
      </c>
      <c r="L77" s="30">
        <v>13625.40513135011</v>
      </c>
      <c r="M77" s="31">
        <v>35.399091672659061</v>
      </c>
      <c r="N77" s="32">
        <v>18605.762583149601</v>
      </c>
      <c r="O77" s="32">
        <v>16522.219971854975</v>
      </c>
      <c r="P77" s="33">
        <v>75.81085290197349</v>
      </c>
      <c r="Q77" s="34">
        <v>39846.184285277268</v>
      </c>
      <c r="R77" s="34">
        <v>35718.373818008818</v>
      </c>
      <c r="S77" s="35">
        <v>48.955776069822186</v>
      </c>
      <c r="T77" s="36">
        <v>25731.155902298542</v>
      </c>
      <c r="U77" s="36">
        <v>22961.835356470365</v>
      </c>
      <c r="V77" s="37">
        <v>56.647208693935674</v>
      </c>
      <c r="W77" s="38">
        <v>29773.772889532589</v>
      </c>
      <c r="X77" s="38">
        <v>26615.373818008826</v>
      </c>
    </row>
    <row r="78" spans="1:24" x14ac:dyDescent="0.3">
      <c r="A78" s="24" t="s">
        <v>15</v>
      </c>
      <c r="B78" s="25" t="s">
        <v>87</v>
      </c>
      <c r="C78" s="25">
        <v>24</v>
      </c>
      <c r="D78" s="25">
        <v>192</v>
      </c>
      <c r="E78" s="25">
        <f>_xlfn.XLOOKUP(B78,'[1]Standard Configuration'!$B$5:$B$135,'[1]Standard Configuration'!$F$5:$F$135)</f>
        <v>370</v>
      </c>
      <c r="F78" s="26">
        <v>270</v>
      </c>
      <c r="G78" s="27">
        <v>27.756497365306714</v>
      </c>
      <c r="H78" s="28">
        <v>14588.815015205209</v>
      </c>
      <c r="I78" s="28">
        <v>12750.215330664098</v>
      </c>
      <c r="J78" s="29">
        <v>43.249297213828648</v>
      </c>
      <c r="K78" s="30">
        <v>22731.830615588337</v>
      </c>
      <c r="L78" s="30">
        <v>20093.653831315063</v>
      </c>
      <c r="M78" s="31">
        <v>44.569765686819721</v>
      </c>
      <c r="N78" s="32">
        <v>23425.868844992445</v>
      </c>
      <c r="O78" s="32">
        <v>20736.753792202562</v>
      </c>
      <c r="P78" s="33">
        <v>84.981526916134143</v>
      </c>
      <c r="Q78" s="34">
        <v>44666.290547120101</v>
      </c>
      <c r="R78" s="34">
        <v>39932.907638356402</v>
      </c>
      <c r="S78" s="35">
        <v>73.311426443320912</v>
      </c>
      <c r="T78" s="36">
        <v>38532.485738609466</v>
      </c>
      <c r="U78" s="36">
        <v>34389.446099894863</v>
      </c>
      <c r="V78" s="37">
        <v>84.848575379491137</v>
      </c>
      <c r="W78" s="38">
        <v>44596.41121946054</v>
      </c>
      <c r="X78" s="38">
        <v>39869.753792202559</v>
      </c>
    </row>
    <row r="79" spans="1:24" x14ac:dyDescent="0.3">
      <c r="A79" s="24" t="s">
        <v>15</v>
      </c>
      <c r="B79" s="25" t="s">
        <v>88</v>
      </c>
      <c r="C79" s="25">
        <v>32</v>
      </c>
      <c r="D79" s="25">
        <v>256</v>
      </c>
      <c r="E79" s="25">
        <f>_xlfn.XLOOKUP(B79,'[1]Standard Configuration'!$B$5:$B$135,'[1]Standard Configuration'!$F$5:$F$135)</f>
        <v>460</v>
      </c>
      <c r="F79" s="26">
        <v>340</v>
      </c>
      <c r="G79" s="27">
        <v>57.961886020137435</v>
      </c>
      <c r="H79" s="28">
        <v>30464.767292184235</v>
      </c>
      <c r="I79" s="28">
        <v>26647.447426356619</v>
      </c>
      <c r="J79" s="29">
        <v>92.296934971539486</v>
      </c>
      <c r="K79" s="30">
        <v>48511.269021041153</v>
      </c>
      <c r="L79" s="30">
        <v>42938.046960471111</v>
      </c>
      <c r="M79" s="31">
        <v>74.775154341650435</v>
      </c>
      <c r="N79" s="32">
        <v>39301.821121971465</v>
      </c>
      <c r="O79" s="32">
        <v>34633.985887895076</v>
      </c>
      <c r="P79" s="33">
        <v>115.18691557096486</v>
      </c>
      <c r="Q79" s="34">
        <v>60542.242824099121</v>
      </c>
      <c r="R79" s="34">
        <v>53830.139734048927</v>
      </c>
      <c r="S79" s="35">
        <v>118.70179145748968</v>
      </c>
      <c r="T79" s="36">
        <v>62389.661590056581</v>
      </c>
      <c r="U79" s="36">
        <v>55499.755118664318</v>
      </c>
      <c r="V79" s="37">
        <v>145.79605150477104</v>
      </c>
      <c r="W79" s="38">
        <v>76630.40467090765</v>
      </c>
      <c r="X79" s="38">
        <v>68369.908964818154</v>
      </c>
    </row>
    <row r="80" spans="1:24" x14ac:dyDescent="0.3">
      <c r="A80" s="24" t="s">
        <v>15</v>
      </c>
      <c r="B80" s="25" t="s">
        <v>89</v>
      </c>
      <c r="C80" s="25">
        <v>36</v>
      </c>
      <c r="D80" s="25">
        <v>288</v>
      </c>
      <c r="E80" s="25">
        <f>_xlfn.XLOOKUP(B80,'[1]Standard Configuration'!$B$5:$B$135,'[1]Standard Configuration'!$F$5:$F$135)</f>
        <v>510</v>
      </c>
      <c r="F80" s="26">
        <v>370</v>
      </c>
      <c r="G80" s="27">
        <v>65.156189413732804</v>
      </c>
      <c r="H80" s="28">
        <v>34246.093155857961</v>
      </c>
      <c r="I80" s="28">
        <v>29956.167131813414</v>
      </c>
      <c r="J80" s="29">
        <v>103.66896536399604</v>
      </c>
      <c r="K80" s="30">
        <v>54488.408195316311</v>
      </c>
      <c r="L80" s="30">
        <v>48228.073853237591</v>
      </c>
      <c r="M80" s="31">
        <v>81.969457735245797</v>
      </c>
      <c r="N80" s="32">
        <v>43083.146985645188</v>
      </c>
      <c r="O80" s="32">
        <v>37942.705593351879</v>
      </c>
      <c r="P80" s="33">
        <v>122.38121896456023</v>
      </c>
      <c r="Q80" s="34">
        <v>64323.568687772859</v>
      </c>
      <c r="R80" s="34">
        <v>57138.859439505723</v>
      </c>
      <c r="S80" s="35">
        <v>133.48858303075409</v>
      </c>
      <c r="T80" s="36">
        <v>70161.599240964337</v>
      </c>
      <c r="U80" s="36">
        <v>62415.013285659566</v>
      </c>
      <c r="V80" s="37">
        <v>163.96962558394557</v>
      </c>
      <c r="W80" s="38">
        <v>86182.4352069218</v>
      </c>
      <c r="X80" s="38">
        <v>76893.936362582637</v>
      </c>
    </row>
    <row r="81" spans="1:24" x14ac:dyDescent="0.3">
      <c r="A81" s="24" t="s">
        <v>15</v>
      </c>
      <c r="B81" s="25" t="s">
        <v>90</v>
      </c>
      <c r="C81" s="25">
        <v>40</v>
      </c>
      <c r="D81" s="25">
        <v>320</v>
      </c>
      <c r="E81" s="25">
        <f>_xlfn.XLOOKUP(B81,'[1]Standard Configuration'!$B$5:$B$135,'[1]Standard Configuration'!$F$5:$F$135)</f>
        <v>550</v>
      </c>
      <c r="F81" s="26">
        <v>410</v>
      </c>
      <c r="G81" s="27">
        <v>72.391238694465599</v>
      </c>
      <c r="H81" s="28">
        <v>38048.835057811113</v>
      </c>
      <c r="I81" s="28">
        <v>33282.655815540442</v>
      </c>
      <c r="J81" s="29">
        <v>115.00024986931517</v>
      </c>
      <c r="K81" s="30">
        <v>60444.131331312048</v>
      </c>
      <c r="L81" s="30">
        <v>53500.331767733835</v>
      </c>
      <c r="M81" s="31">
        <v>89.204507015978606</v>
      </c>
      <c r="N81" s="32">
        <v>46885.888887598354</v>
      </c>
      <c r="O81" s="32">
        <v>41269.194277078896</v>
      </c>
      <c r="P81" s="33">
        <v>129.61626824529304</v>
      </c>
      <c r="Q81" s="34">
        <v>68126.310589726025</v>
      </c>
      <c r="R81" s="34">
        <v>60465.348123232754</v>
      </c>
      <c r="S81" s="35">
        <v>148.31612049115591</v>
      </c>
      <c r="T81" s="36">
        <v>77954.952930151558</v>
      </c>
      <c r="U81" s="36">
        <v>69348.040430925059</v>
      </c>
      <c r="V81" s="37">
        <v>182.18394555025759</v>
      </c>
      <c r="W81" s="38">
        <v>95755.881781215401</v>
      </c>
      <c r="X81" s="38">
        <v>85435.732738617357</v>
      </c>
    </row>
    <row r="82" spans="1:24" x14ac:dyDescent="0.3">
      <c r="A82" s="24" t="s">
        <v>15</v>
      </c>
      <c r="B82" s="25" t="s">
        <v>91</v>
      </c>
      <c r="C82" s="25">
        <v>64</v>
      </c>
      <c r="D82" s="25">
        <v>512</v>
      </c>
      <c r="E82" s="25">
        <f>_xlfn.XLOOKUP(B82,'[1]Standard Configuration'!$B$5:$B$135,'[1]Standard Configuration'!$F$5:$F$135)</f>
        <v>820</v>
      </c>
      <c r="F82" s="26">
        <v>620</v>
      </c>
      <c r="G82" s="27">
        <v>115.67929671745011</v>
      </c>
      <c r="H82" s="28">
        <v>60801.03835469178</v>
      </c>
      <c r="I82" s="28">
        <v>53188.280983091885</v>
      </c>
      <c r="J82" s="29">
        <v>183.11019456264214</v>
      </c>
      <c r="K82" s="30">
        <v>96242.718262124705</v>
      </c>
      <c r="L82" s="30">
        <v>85187.186189522035</v>
      </c>
      <c r="M82" s="31">
        <v>132.49256503896311</v>
      </c>
      <c r="N82" s="32">
        <v>69638.092184479014</v>
      </c>
      <c r="O82" s="32">
        <v>61174.819444630346</v>
      </c>
      <c r="P82" s="33">
        <v>172.9043262682776</v>
      </c>
      <c r="Q82" s="34">
        <v>90878.513886606699</v>
      </c>
      <c r="R82" s="34">
        <v>80370.973290784197</v>
      </c>
      <c r="S82" s="35">
        <v>237.15910759215458</v>
      </c>
      <c r="T82" s="36">
        <v>124650.82695043646</v>
      </c>
      <c r="U82" s="36">
        <v>110892.89636770729</v>
      </c>
      <c r="V82" s="37">
        <v>291.34762768671726</v>
      </c>
      <c r="W82" s="38">
        <v>153132.3131121386</v>
      </c>
      <c r="X82" s="38">
        <v>136633.20406001495</v>
      </c>
    </row>
    <row r="83" spans="1:24" x14ac:dyDescent="0.3">
      <c r="A83" s="24" t="s">
        <v>15</v>
      </c>
      <c r="B83" s="25" t="s">
        <v>92</v>
      </c>
      <c r="C83" s="25">
        <v>8</v>
      </c>
      <c r="D83" s="25">
        <v>64</v>
      </c>
      <c r="E83" s="25">
        <f>_xlfn.XLOOKUP(B83,'[1]Standard Configuration'!$B$5:$B$135,'[1]Standard Configuration'!$F$5:$F$135)</f>
        <v>190</v>
      </c>
      <c r="F83" s="26">
        <v>130</v>
      </c>
      <c r="G83" s="27">
        <v>26.68445680320983</v>
      </c>
      <c r="H83" s="28">
        <v>14025.350495767087</v>
      </c>
      <c r="I83" s="28">
        <v>12270.554015468111</v>
      </c>
      <c r="J83" s="29">
        <v>51.353689415238669</v>
      </c>
      <c r="K83" s="30">
        <v>26991.499156649443</v>
      </c>
      <c r="L83" s="30">
        <v>23979.270449192027</v>
      </c>
      <c r="M83" s="31">
        <v>43.497725124722834</v>
      </c>
      <c r="N83" s="32">
        <v>22862.404325554322</v>
      </c>
      <c r="O83" s="32">
        <v>20257.092477006569</v>
      </c>
      <c r="P83" s="33">
        <v>83.909486354037242</v>
      </c>
      <c r="Q83" s="34">
        <v>44102.826027681978</v>
      </c>
      <c r="R83" s="34">
        <v>39453.24632316042</v>
      </c>
      <c r="S83" s="35">
        <v>46.931955621176733</v>
      </c>
      <c r="T83" s="36">
        <v>24667.435874490489</v>
      </c>
      <c r="U83" s="36">
        <v>21888.40016931426</v>
      </c>
      <c r="V83" s="37">
        <v>55.962296046708637</v>
      </c>
      <c r="W83" s="38">
        <v>29413.782802150061</v>
      </c>
      <c r="X83" s="38">
        <v>26177.938630852721</v>
      </c>
    </row>
    <row r="84" spans="1:24" x14ac:dyDescent="0.3">
      <c r="A84" s="24" t="s">
        <v>15</v>
      </c>
      <c r="B84" s="25" t="s">
        <v>93</v>
      </c>
      <c r="C84" s="25">
        <v>16</v>
      </c>
      <c r="D84" s="25">
        <v>128</v>
      </c>
      <c r="E84" s="25">
        <f>_xlfn.XLOOKUP(B84,'[1]Standard Configuration'!$B$5:$B$135,'[1]Standard Configuration'!$F$5:$F$135)</f>
        <v>280</v>
      </c>
      <c r="F84" s="26">
        <v>200</v>
      </c>
      <c r="G84" s="27">
        <v>53.124438283594912</v>
      </c>
      <c r="H84" s="28">
        <v>27922.204761857483</v>
      </c>
      <c r="I84" s="28">
        <v>24434.494161314869</v>
      </c>
      <c r="J84" s="29">
        <v>101.22370345004052</v>
      </c>
      <c r="K84" s="30">
        <v>53203.178533341299</v>
      </c>
      <c r="L84" s="30">
        <v>47269.633166963853</v>
      </c>
      <c r="M84" s="31">
        <v>69.93770660510792</v>
      </c>
      <c r="N84" s="32">
        <v>36759.258591644721</v>
      </c>
      <c r="O84" s="32">
        <v>32421.032622853334</v>
      </c>
      <c r="P84" s="33">
        <v>110.34946783442234</v>
      </c>
      <c r="Q84" s="34">
        <v>57999.680293772377</v>
      </c>
      <c r="R84" s="34">
        <v>51617.186469007167</v>
      </c>
      <c r="S84" s="35">
        <v>83.494391002271044</v>
      </c>
      <c r="T84" s="36">
        <v>43884.651910793662</v>
      </c>
      <c r="U84" s="36">
        <v>38860.648007468721</v>
      </c>
      <c r="V84" s="37">
        <v>91.185823626384519</v>
      </c>
      <c r="W84" s="38">
        <v>47927.268898027709</v>
      </c>
      <c r="X84" s="38">
        <v>42514.186469007182</v>
      </c>
    </row>
    <row r="85" spans="1:24" x14ac:dyDescent="0.3">
      <c r="A85" s="24" t="s">
        <v>15</v>
      </c>
      <c r="B85" s="25" t="s">
        <v>94</v>
      </c>
      <c r="C85" s="25">
        <v>32</v>
      </c>
      <c r="D85" s="25">
        <v>256</v>
      </c>
      <c r="E85" s="25">
        <f>_xlfn.XLOOKUP(B85,'[1]Standard Configuration'!$B$5:$B$135,'[1]Standard Configuration'!$F$5:$F$135)</f>
        <v>460</v>
      </c>
      <c r="F85" s="26">
        <v>340</v>
      </c>
      <c r="G85" s="27">
        <v>100.19125460274209</v>
      </c>
      <c r="H85" s="28">
        <v>52660.523419201236</v>
      </c>
      <c r="I85" s="28">
        <v>46086.467224281783</v>
      </c>
      <c r="J85" s="29">
        <v>195.15058487802122</v>
      </c>
      <c r="K85" s="30">
        <v>102571.14741188796</v>
      </c>
      <c r="L85" s="30">
        <v>91174.451373780903</v>
      </c>
      <c r="M85" s="31">
        <v>117.00452292425507</v>
      </c>
      <c r="N85" s="32">
        <v>61497.577248988462</v>
      </c>
      <c r="O85" s="32">
        <v>54073.005685820252</v>
      </c>
      <c r="P85" s="33">
        <v>157.41628415356953</v>
      </c>
      <c r="Q85" s="34">
        <v>82737.998951116126</v>
      </c>
      <c r="R85" s="34">
        <v>73269.159531974088</v>
      </c>
      <c r="S85" s="35">
        <v>160.93116004009434</v>
      </c>
      <c r="T85" s="36">
        <v>84585.417717073593</v>
      </c>
      <c r="U85" s="36">
        <v>74938.774916589478</v>
      </c>
      <c r="V85" s="37">
        <v>188.02542008737566</v>
      </c>
      <c r="W85" s="38">
        <v>98826.160797924633</v>
      </c>
      <c r="X85" s="38">
        <v>87808.928762743322</v>
      </c>
    </row>
    <row r="86" spans="1:24" x14ac:dyDescent="0.3">
      <c r="A86" s="24" t="s">
        <v>15</v>
      </c>
      <c r="B86" s="25" t="s">
        <v>95</v>
      </c>
      <c r="C86" s="25">
        <v>40</v>
      </c>
      <c r="D86" s="25">
        <v>320</v>
      </c>
      <c r="E86" s="25">
        <f>_xlfn.XLOOKUP(B86,'[1]Standard Configuration'!$B$5:$B$135,'[1]Standard Configuration'!$F$5:$F$135)</f>
        <v>550</v>
      </c>
      <c r="F86" s="26">
        <v>410</v>
      </c>
      <c r="G86" s="27">
        <v>125.1779494227214</v>
      </c>
      <c r="H86" s="28">
        <v>65793.530216582352</v>
      </c>
      <c r="I86" s="28">
        <v>57581.430562946894</v>
      </c>
      <c r="J86" s="29">
        <v>243.56731225241725</v>
      </c>
      <c r="K86" s="30">
        <v>128018.97931987052</v>
      </c>
      <c r="L86" s="30">
        <v>113795.83728437108</v>
      </c>
      <c r="M86" s="31">
        <v>141.9912177442344</v>
      </c>
      <c r="N86" s="32">
        <v>74630.584046369593</v>
      </c>
      <c r="O86" s="32">
        <v>65567.969024485355</v>
      </c>
      <c r="P86" s="33">
        <v>182.40297897354881</v>
      </c>
      <c r="Q86" s="34">
        <v>95871.005748497264</v>
      </c>
      <c r="R86" s="34">
        <v>84764.122870639199</v>
      </c>
      <c r="S86" s="35">
        <v>201.10283121941174</v>
      </c>
      <c r="T86" s="36">
        <v>105699.64808892281</v>
      </c>
      <c r="U86" s="36">
        <v>93646.815178331512</v>
      </c>
      <c r="V86" s="37">
        <v>234.97065627851339</v>
      </c>
      <c r="W86" s="38">
        <v>123500.57693998664</v>
      </c>
      <c r="X86" s="38">
        <v>109734.50748602381</v>
      </c>
    </row>
    <row r="87" spans="1:24" x14ac:dyDescent="0.3">
      <c r="A87" s="24" t="s">
        <v>15</v>
      </c>
      <c r="B87" s="25" t="s">
        <v>96</v>
      </c>
      <c r="C87" s="25">
        <v>48</v>
      </c>
      <c r="D87" s="25">
        <v>384</v>
      </c>
      <c r="E87" s="25">
        <f>_xlfn.XLOOKUP(B87,'[1]Standard Configuration'!$B$5:$B$135,'[1]Standard Configuration'!$F$5:$F$135)</f>
        <v>640</v>
      </c>
      <c r="F87" s="26">
        <v>480</v>
      </c>
      <c r="G87" s="27">
        <v>150.16464424270072</v>
      </c>
      <c r="H87" s="28">
        <v>78926.537013963491</v>
      </c>
      <c r="I87" s="28">
        <v>69076.393901612013</v>
      </c>
      <c r="J87" s="29">
        <v>291.9840396268134</v>
      </c>
      <c r="K87" s="30">
        <v>153466.81122785312</v>
      </c>
      <c r="L87" s="30">
        <v>136417.22319496126</v>
      </c>
      <c r="M87" s="31">
        <v>166.97791256421371</v>
      </c>
      <c r="N87" s="32">
        <v>87763.590843750717</v>
      </c>
      <c r="O87" s="32">
        <v>77062.932363150467</v>
      </c>
      <c r="P87" s="33">
        <v>207.38967379352815</v>
      </c>
      <c r="Q87" s="34">
        <v>109004.01254587839</v>
      </c>
      <c r="R87" s="34">
        <v>96259.086209304311</v>
      </c>
      <c r="S87" s="35">
        <v>241.27450239872908</v>
      </c>
      <c r="T87" s="36">
        <v>126813.878460772</v>
      </c>
      <c r="U87" s="36">
        <v>112354.85544007352</v>
      </c>
      <c r="V87" s="37">
        <v>281.91589246965111</v>
      </c>
      <c r="W87" s="38">
        <v>148174.99308204863</v>
      </c>
      <c r="X87" s="38">
        <v>131660.08620930428</v>
      </c>
    </row>
    <row r="88" spans="1:24" x14ac:dyDescent="0.3">
      <c r="A88" s="24" t="s">
        <v>15</v>
      </c>
      <c r="B88" s="25" t="s">
        <v>97</v>
      </c>
      <c r="C88" s="25">
        <v>1</v>
      </c>
      <c r="D88" s="25">
        <v>10</v>
      </c>
      <c r="E88" s="25">
        <f>_xlfn.XLOOKUP(B88,'[1]Standard Configuration'!$B$5:$B$135,'[1]Standard Configuration'!$F$5:$F$135)</f>
        <v>120</v>
      </c>
      <c r="F88" s="26">
        <v>70</v>
      </c>
      <c r="G88" s="27">
        <v>1.5302594557117803</v>
      </c>
      <c r="H88" s="28">
        <v>804.30436992211173</v>
      </c>
      <c r="I88" s="28">
        <v>697.49876036272917</v>
      </c>
      <c r="J88" s="29">
        <v>3.3939189199648641</v>
      </c>
      <c r="K88" s="30">
        <v>1783.8437843335325</v>
      </c>
      <c r="L88" s="30">
        <v>1574.8337158164184</v>
      </c>
      <c r="M88" s="31">
        <v>8.6434095739150898</v>
      </c>
      <c r="N88" s="32">
        <v>4542.9760720497716</v>
      </c>
      <c r="O88" s="32">
        <v>4076.3449142088825</v>
      </c>
      <c r="P88" s="33">
        <v>25.132800826870174</v>
      </c>
      <c r="Q88" s="34">
        <v>13209.800114602964</v>
      </c>
      <c r="R88" s="34">
        <v>11909.037221901193</v>
      </c>
      <c r="S88" s="35">
        <v>4.0611968079576437</v>
      </c>
      <c r="T88" s="36">
        <v>2134.5650422625372</v>
      </c>
      <c r="U88" s="36">
        <v>1899.729529593498</v>
      </c>
      <c r="V88" s="37">
        <v>5.1899893611491343</v>
      </c>
      <c r="W88" s="38">
        <v>2727.8584082199845</v>
      </c>
      <c r="X88" s="38">
        <v>2435.9218372858063</v>
      </c>
    </row>
    <row r="89" spans="1:24" x14ac:dyDescent="0.3">
      <c r="A89" s="24" t="s">
        <v>15</v>
      </c>
      <c r="B89" s="25" t="s">
        <v>98</v>
      </c>
      <c r="C89" s="25">
        <v>2</v>
      </c>
      <c r="D89" s="25">
        <v>20</v>
      </c>
      <c r="E89" s="25">
        <f>_xlfn.XLOOKUP(B89,'[1]Standard Configuration'!$B$5:$B$135,'[1]Standard Configuration'!$F$5:$F$135)</f>
        <v>130</v>
      </c>
      <c r="F89" s="26">
        <v>80</v>
      </c>
      <c r="G89" s="27">
        <v>2.8160435885988195</v>
      </c>
      <c r="H89" s="28">
        <v>1480.1125101675395</v>
      </c>
      <c r="I89" s="28">
        <v>1288.3836511041086</v>
      </c>
      <c r="J89" s="29">
        <v>5.2634165723554496</v>
      </c>
      <c r="K89" s="30">
        <v>2766.4517504300243</v>
      </c>
      <c r="L89" s="30">
        <v>2442.9907219424126</v>
      </c>
      <c r="M89" s="31">
        <v>9.929193706802133</v>
      </c>
      <c r="N89" s="32">
        <v>5218.7842122952006</v>
      </c>
      <c r="O89" s="32">
        <v>4667.2298049502624</v>
      </c>
      <c r="P89" s="33">
        <v>26.418584959757222</v>
      </c>
      <c r="Q89" s="34">
        <v>13885.608254848396</v>
      </c>
      <c r="R89" s="34">
        <v>12499.922112642571</v>
      </c>
      <c r="S89" s="35">
        <v>7.8779182930905458</v>
      </c>
      <c r="T89" s="36">
        <v>4140.6338548483909</v>
      </c>
      <c r="U89" s="36">
        <v>3692.8451895656463</v>
      </c>
      <c r="V89" s="37">
        <v>10.135503399473526</v>
      </c>
      <c r="W89" s="38">
        <v>5327.2205867632847</v>
      </c>
      <c r="X89" s="38">
        <v>4765.2298049502633</v>
      </c>
    </row>
    <row r="90" spans="1:24" x14ac:dyDescent="0.3">
      <c r="A90" s="24" t="s">
        <v>15</v>
      </c>
      <c r="B90" s="25" t="s">
        <v>99</v>
      </c>
      <c r="C90" s="25">
        <v>4</v>
      </c>
      <c r="D90" s="25">
        <v>40</v>
      </c>
      <c r="E90" s="25">
        <f>_xlfn.XLOOKUP(B90,'[1]Standard Configuration'!$B$5:$B$135,'[1]Standard Configuration'!$F$5:$F$135)</f>
        <v>160</v>
      </c>
      <c r="F90" s="26">
        <v>100</v>
      </c>
      <c r="G90" s="27">
        <v>5.3876118543728984</v>
      </c>
      <c r="H90" s="28">
        <v>2831.7287906583952</v>
      </c>
      <c r="I90" s="28">
        <v>2470.153432586867</v>
      </c>
      <c r="J90" s="29">
        <v>9.0431577642740777</v>
      </c>
      <c r="K90" s="30">
        <v>4753.0837209024548</v>
      </c>
      <c r="L90" s="30">
        <v>4197.0737124646266</v>
      </c>
      <c r="M90" s="31">
        <v>19.613912090779522</v>
      </c>
      <c r="N90" s="32">
        <v>10309.072194913715</v>
      </c>
      <c r="O90" s="32">
        <v>9227.8457402791737</v>
      </c>
      <c r="P90" s="33">
        <v>52.592694596689689</v>
      </c>
      <c r="Q90" s="34">
        <v>27642.720280020101</v>
      </c>
      <c r="R90" s="34">
        <v>24893.230355663789</v>
      </c>
      <c r="S90" s="35">
        <v>15.511361263356349</v>
      </c>
      <c r="T90" s="36">
        <v>8152.7714800200974</v>
      </c>
      <c r="U90" s="36">
        <v>7279.0765095099441</v>
      </c>
      <c r="V90" s="37">
        <v>20.026531476122308</v>
      </c>
      <c r="W90" s="38">
        <v>10525.944943849885</v>
      </c>
      <c r="X90" s="38">
        <v>9423.8457402791755</v>
      </c>
    </row>
    <row r="91" spans="1:24" x14ac:dyDescent="0.3">
      <c r="A91" s="24" t="s">
        <v>15</v>
      </c>
      <c r="B91" s="25" t="s">
        <v>100</v>
      </c>
      <c r="C91" s="25">
        <v>6</v>
      </c>
      <c r="D91" s="25">
        <v>60</v>
      </c>
      <c r="E91" s="25">
        <f>_xlfn.XLOOKUP(B91,'[1]Standard Configuration'!$B$5:$B$135,'[1]Standard Configuration'!$F$5:$F$135)</f>
        <v>190</v>
      </c>
      <c r="F91" s="26">
        <v>120</v>
      </c>
      <c r="G91" s="27">
        <v>7.9591801201469803</v>
      </c>
      <c r="H91" s="28">
        <v>4183.3450711492524</v>
      </c>
      <c r="I91" s="28">
        <v>3651.9232140696258</v>
      </c>
      <c r="J91" s="29">
        <v>12.822898956192709</v>
      </c>
      <c r="K91" s="30">
        <v>6739.7156913748877</v>
      </c>
      <c r="L91" s="30">
        <v>5951.156702986842</v>
      </c>
      <c r="M91" s="31">
        <v>24.772448441659982</v>
      </c>
      <c r="N91" s="32">
        <v>13020.398900936487</v>
      </c>
      <c r="O91" s="32">
        <v>11638.461675608087</v>
      </c>
      <c r="P91" s="33">
        <v>65.184209670974397</v>
      </c>
      <c r="Q91" s="34">
        <v>34260.820603064138</v>
      </c>
      <c r="R91" s="34">
        <v>30834.615521761931</v>
      </c>
      <c r="S91" s="35">
        <v>23.14480423362216</v>
      </c>
      <c r="T91" s="36">
        <v>12164.909105191808</v>
      </c>
      <c r="U91" s="36">
        <v>10865.307829454241</v>
      </c>
      <c r="V91" s="37">
        <v>29.917559552771095</v>
      </c>
      <c r="W91" s="38">
        <v>15724.669300936488</v>
      </c>
      <c r="X91" s="38">
        <v>14082.461675608089</v>
      </c>
    </row>
    <row r="92" spans="1:24" x14ac:dyDescent="0.3">
      <c r="A92" s="24" t="s">
        <v>15</v>
      </c>
      <c r="B92" s="25" t="s">
        <v>101</v>
      </c>
      <c r="C92" s="25">
        <v>8</v>
      </c>
      <c r="D92" s="25">
        <v>80</v>
      </c>
      <c r="E92" s="25">
        <f>_xlfn.XLOOKUP(B92,'[1]Standard Configuration'!$B$5:$B$135,'[1]Standard Configuration'!$F$5:$F$135)</f>
        <v>220</v>
      </c>
      <c r="F92" s="26">
        <v>140</v>
      </c>
      <c r="G92" s="27">
        <v>10.530748385921058</v>
      </c>
      <c r="H92" s="28">
        <v>5534.9613516401087</v>
      </c>
      <c r="I92" s="28">
        <v>4833.6929955523838</v>
      </c>
      <c r="J92" s="29">
        <v>16.602640148111334</v>
      </c>
      <c r="K92" s="30">
        <v>8726.347661847316</v>
      </c>
      <c r="L92" s="30">
        <v>7705.2396935090574</v>
      </c>
      <c r="M92" s="31">
        <v>27.344016707434061</v>
      </c>
      <c r="N92" s="32">
        <v>14372.015181427341</v>
      </c>
      <c r="O92" s="32">
        <v>12820.231457090846</v>
      </c>
      <c r="P92" s="33">
        <v>67.755777936748487</v>
      </c>
      <c r="Q92" s="34">
        <v>35612.436883555005</v>
      </c>
      <c r="R92" s="34">
        <v>32016.38530324469</v>
      </c>
      <c r="S92" s="35">
        <v>30.778247203887958</v>
      </c>
      <c r="T92" s="36">
        <v>16177.046730363512</v>
      </c>
      <c r="U92" s="36">
        <v>14451.539149398537</v>
      </c>
      <c r="V92" s="37">
        <v>39.808587629419875</v>
      </c>
      <c r="W92" s="38">
        <v>20923.393658023087</v>
      </c>
      <c r="X92" s="38">
        <v>18741.077610936998</v>
      </c>
    </row>
    <row r="93" spans="1:24" x14ac:dyDescent="0.3">
      <c r="A93" s="24" t="s">
        <v>15</v>
      </c>
      <c r="B93" s="25" t="s">
        <v>102</v>
      </c>
      <c r="C93" s="25">
        <v>12</v>
      </c>
      <c r="D93" s="25">
        <v>120</v>
      </c>
      <c r="E93" s="25">
        <f>_xlfn.XLOOKUP(B93,'[1]Standard Configuration'!$B$5:$B$135,'[1]Standard Configuration'!$F$5:$F$135)</f>
        <v>270</v>
      </c>
      <c r="F93" s="26">
        <v>190</v>
      </c>
      <c r="G93" s="27">
        <v>15.714630804606674</v>
      </c>
      <c r="H93" s="28">
        <v>8259.6099509012693</v>
      </c>
      <c r="I93" s="28">
        <v>7215.0015367881269</v>
      </c>
      <c r="J93" s="29">
        <v>24.121376644811139</v>
      </c>
      <c r="K93" s="30">
        <v>12678.195564512735</v>
      </c>
      <c r="L93" s="30">
        <v>11195.63669628326</v>
      </c>
      <c r="M93" s="31">
        <v>32.527899126119671</v>
      </c>
      <c r="N93" s="32">
        <v>17096.663780688494</v>
      </c>
      <c r="O93" s="32">
        <v>15201.539998326592</v>
      </c>
      <c r="P93" s="33">
        <v>72.9396603554341</v>
      </c>
      <c r="Q93" s="34">
        <v>38337.085482816161</v>
      </c>
      <c r="R93" s="34">
        <v>34397.693844480433</v>
      </c>
      <c r="S93" s="35">
        <v>38.492095343613776</v>
      </c>
      <c r="T93" s="36">
        <v>20231.445312603402</v>
      </c>
      <c r="U93" s="36">
        <v>18034.616921403511</v>
      </c>
      <c r="V93" s="37">
        <v>44.260669811698882</v>
      </c>
      <c r="W93" s="38">
        <v>23263.408053028932</v>
      </c>
      <c r="X93" s="38">
        <v>20774.770767557358</v>
      </c>
    </row>
    <row r="94" spans="1:24" x14ac:dyDescent="0.3">
      <c r="A94" s="24" t="s">
        <v>15</v>
      </c>
      <c r="B94" s="25" t="s">
        <v>103</v>
      </c>
      <c r="C94" s="25">
        <v>16</v>
      </c>
      <c r="D94" s="25">
        <v>160</v>
      </c>
      <c r="E94" s="25">
        <f>_xlfn.XLOOKUP(B94,'[1]Standard Configuration'!$B$5:$B$135,'[1]Standard Configuration'!$F$5:$F$135)</f>
        <v>330</v>
      </c>
      <c r="F94" s="26">
        <v>230</v>
      </c>
      <c r="G94" s="27">
        <v>20.857767336154829</v>
      </c>
      <c r="H94" s="28">
        <v>10962.842511882978</v>
      </c>
      <c r="I94" s="28">
        <v>9578.5410997536437</v>
      </c>
      <c r="J94" s="29">
        <v>31.680859028648392</v>
      </c>
      <c r="K94" s="30">
        <v>16651.459505457598</v>
      </c>
      <c r="L94" s="30">
        <v>14703.802677327685</v>
      </c>
      <c r="M94" s="31">
        <v>37.671035657667836</v>
      </c>
      <c r="N94" s="32">
        <v>19799.896341670214</v>
      </c>
      <c r="O94" s="32">
        <v>17565.079561292103</v>
      </c>
      <c r="P94" s="33">
        <v>78.082796886982251</v>
      </c>
      <c r="Q94" s="34">
        <v>41040.318043797866</v>
      </c>
      <c r="R94" s="34">
        <v>36761.23340744595</v>
      </c>
      <c r="S94" s="35">
        <v>51.227720054830961</v>
      </c>
      <c r="T94" s="36">
        <v>26925.289660819148</v>
      </c>
      <c r="U94" s="36">
        <v>24004.694945907493</v>
      </c>
      <c r="V94" s="37">
        <v>58.919152678944414</v>
      </c>
      <c r="W94" s="38">
        <v>30967.906648053187</v>
      </c>
      <c r="X94" s="38">
        <v>27658.233407445954</v>
      </c>
    </row>
    <row r="95" spans="1:24" x14ac:dyDescent="0.3">
      <c r="A95" s="24" t="s">
        <v>15</v>
      </c>
      <c r="B95" s="25" t="s">
        <v>104</v>
      </c>
      <c r="C95" s="25">
        <v>24</v>
      </c>
      <c r="D95" s="25">
        <v>240</v>
      </c>
      <c r="E95" s="25">
        <f>_xlfn.XLOOKUP(B95,'[1]Standard Configuration'!$B$5:$B$135,'[1]Standard Configuration'!$F$5:$F$135)</f>
        <v>440</v>
      </c>
      <c r="F95" s="26">
        <v>320</v>
      </c>
      <c r="G95" s="27">
        <v>31.184786286388611</v>
      </c>
      <c r="H95" s="28">
        <v>16390.723672125852</v>
      </c>
      <c r="I95" s="28">
        <v>14323.389203954905</v>
      </c>
      <c r="J95" s="29">
        <v>46.759077909185443</v>
      </c>
      <c r="K95" s="30">
        <v>24576.571349067872</v>
      </c>
      <c r="L95" s="30">
        <v>21702.365661146323</v>
      </c>
      <c r="M95" s="31">
        <v>47.998054607901615</v>
      </c>
      <c r="N95" s="32">
        <v>25227.777501913093</v>
      </c>
      <c r="O95" s="32">
        <v>22309.927665493367</v>
      </c>
      <c r="P95" s="33">
        <v>88.40981583721603</v>
      </c>
      <c r="Q95" s="34">
        <v>46468.199204040749</v>
      </c>
      <c r="R95" s="34">
        <v>41506.081511647208</v>
      </c>
      <c r="S95" s="35">
        <v>76.739715364402812</v>
      </c>
      <c r="T95" s="36">
        <v>40334.394395530115</v>
      </c>
      <c r="U95" s="36">
        <v>35962.619973185676</v>
      </c>
      <c r="V95" s="37">
        <v>88.276864300573024</v>
      </c>
      <c r="W95" s="38">
        <v>46398.319876381189</v>
      </c>
      <c r="X95" s="38">
        <v>41442.927665493364</v>
      </c>
    </row>
    <row r="96" spans="1:24" x14ac:dyDescent="0.3">
      <c r="A96" s="24" t="s">
        <v>15</v>
      </c>
      <c r="B96" s="25" t="s">
        <v>105</v>
      </c>
      <c r="C96" s="25">
        <v>32</v>
      </c>
      <c r="D96" s="25">
        <v>320</v>
      </c>
      <c r="E96" s="25">
        <f>_xlfn.XLOOKUP(B96,'[1]Standard Configuration'!$B$5:$B$135,'[1]Standard Configuration'!$F$5:$F$135)</f>
        <v>550</v>
      </c>
      <c r="F96" s="26">
        <v>410</v>
      </c>
      <c r="G96" s="27">
        <v>65.353010597364829</v>
      </c>
      <c r="H96" s="28">
        <v>34349.542369974952</v>
      </c>
      <c r="I96" s="28">
        <v>30042.81918255291</v>
      </c>
      <c r="J96" s="29">
        <v>99.769551323041796</v>
      </c>
      <c r="K96" s="30">
        <v>52438.876175390767</v>
      </c>
      <c r="L96" s="30">
        <v>46368.95667320786</v>
      </c>
      <c r="M96" s="31">
        <v>82.166278918877836</v>
      </c>
      <c r="N96" s="32">
        <v>43186.596199762185</v>
      </c>
      <c r="O96" s="32">
        <v>38029.357644091375</v>
      </c>
      <c r="P96" s="33">
        <v>122.57804014819227</v>
      </c>
      <c r="Q96" s="34">
        <v>64427.017901889856</v>
      </c>
      <c r="R96" s="34">
        <v>57225.511490245219</v>
      </c>
      <c r="S96" s="35">
        <v>126.09291603471709</v>
      </c>
      <c r="T96" s="36">
        <v>66274.436667847287</v>
      </c>
      <c r="U96" s="36">
        <v>58895.126874860609</v>
      </c>
      <c r="V96" s="37">
        <v>153.18717608199842</v>
      </c>
      <c r="W96" s="38">
        <v>80515.179748698356</v>
      </c>
      <c r="X96" s="38">
        <v>71765.280721014438</v>
      </c>
    </row>
    <row r="97" spans="1:24" x14ac:dyDescent="0.3">
      <c r="A97" s="24" t="s">
        <v>15</v>
      </c>
      <c r="B97" s="25" t="s">
        <v>106</v>
      </c>
      <c r="C97" s="25">
        <v>40</v>
      </c>
      <c r="D97" s="25">
        <v>400</v>
      </c>
      <c r="E97" s="25">
        <f>_xlfn.XLOOKUP(B97,'[1]Standard Configuration'!$B$5:$B$135,'[1]Standard Configuration'!$F$5:$F$135)</f>
        <v>660</v>
      </c>
      <c r="F97" s="26">
        <v>490</v>
      </c>
      <c r="G97" s="27">
        <v>81.599585000646769</v>
      </c>
      <c r="H97" s="28">
        <v>42888.74187633994</v>
      </c>
      <c r="I97" s="28">
        <v>37513.543777083134</v>
      </c>
      <c r="J97" s="29">
        <v>124.33083383690871</v>
      </c>
      <c r="K97" s="30">
        <v>65348.286264679213</v>
      </c>
      <c r="L97" s="30">
        <v>57784.526664087221</v>
      </c>
      <c r="M97" s="31">
        <v>98.412853322159791</v>
      </c>
      <c r="N97" s="32">
        <v>51725.795706127188</v>
      </c>
      <c r="O97" s="32">
        <v>45500.082238621588</v>
      </c>
      <c r="P97" s="33">
        <v>138.82461455147421</v>
      </c>
      <c r="Q97" s="34">
        <v>72966.217408254859</v>
      </c>
      <c r="R97" s="34">
        <v>64696.236084775439</v>
      </c>
      <c r="S97" s="35">
        <v>157.52446679733708</v>
      </c>
      <c r="T97" s="36">
        <v>82794.859748680363</v>
      </c>
      <c r="U97" s="36">
        <v>73578.928392467773</v>
      </c>
      <c r="V97" s="37">
        <v>191.39229185643876</v>
      </c>
      <c r="W97" s="38">
        <v>100595.78859974421</v>
      </c>
      <c r="X97" s="38">
        <v>89666.620700160056</v>
      </c>
    </row>
    <row r="98" spans="1:24" x14ac:dyDescent="0.3">
      <c r="A98" s="24" t="s">
        <v>15</v>
      </c>
      <c r="B98" s="25" t="s">
        <v>107</v>
      </c>
      <c r="C98" s="25">
        <v>1</v>
      </c>
      <c r="D98" s="25">
        <v>12</v>
      </c>
      <c r="E98" s="25">
        <f>_xlfn.XLOOKUP(B98,'[1]Standard Configuration'!$B$5:$B$135,'[1]Standard Configuration'!$F$5:$F$135)</f>
        <v>120</v>
      </c>
      <c r="F98" s="26">
        <v>70</v>
      </c>
      <c r="G98" s="27">
        <v>1.6646161009365554</v>
      </c>
      <c r="H98" s="28">
        <v>874.92222265225348</v>
      </c>
      <c r="I98" s="28">
        <v>759.34580127688264</v>
      </c>
      <c r="J98" s="29">
        <v>3.5282755651896394</v>
      </c>
      <c r="K98" s="30">
        <v>1854.4616370636743</v>
      </c>
      <c r="L98" s="30">
        <v>1636.6807567305716</v>
      </c>
      <c r="M98" s="31">
        <v>8.7777662191398669</v>
      </c>
      <c r="N98" s="32">
        <v>4613.5939247799142</v>
      </c>
      <c r="O98" s="32">
        <v>4138.1919551230358</v>
      </c>
      <c r="P98" s="33">
        <v>25.267157472094951</v>
      </c>
      <c r="Q98" s="34">
        <v>13280.417967333105</v>
      </c>
      <c r="R98" s="34">
        <v>11970.884262815343</v>
      </c>
      <c r="S98" s="35">
        <v>4.1955534531824181</v>
      </c>
      <c r="T98" s="36">
        <v>2205.1828949926789</v>
      </c>
      <c r="U98" s="36">
        <v>1961.5765705076517</v>
      </c>
      <c r="V98" s="37">
        <v>5.3243460063739088</v>
      </c>
      <c r="W98" s="38">
        <v>2798.4762609501267</v>
      </c>
      <c r="X98" s="38">
        <v>2497.7688781999595</v>
      </c>
    </row>
    <row r="99" spans="1:24" x14ac:dyDescent="0.3">
      <c r="A99" s="24" t="s">
        <v>15</v>
      </c>
      <c r="B99" s="25" t="s">
        <v>108</v>
      </c>
      <c r="C99" s="25">
        <v>2</v>
      </c>
      <c r="D99" s="25">
        <v>24</v>
      </c>
      <c r="E99" s="25">
        <f>_xlfn.XLOOKUP(B99,'[1]Standard Configuration'!$B$5:$B$135,'[1]Standard Configuration'!$F$5:$F$135)</f>
        <v>140</v>
      </c>
      <c r="F99" s="26">
        <v>80</v>
      </c>
      <c r="G99" s="27">
        <v>3.0847568790483701</v>
      </c>
      <c r="H99" s="28">
        <v>1621.3482156278233</v>
      </c>
      <c r="I99" s="28">
        <v>1412.0777329324153</v>
      </c>
      <c r="J99" s="29">
        <v>5.5728757499424573</v>
      </c>
      <c r="K99" s="30">
        <v>2929.1034941697553</v>
      </c>
      <c r="L99" s="30">
        <v>2584.4537820409446</v>
      </c>
      <c r="M99" s="31">
        <v>10.197906997251682</v>
      </c>
      <c r="N99" s="32">
        <v>5360.019917755485</v>
      </c>
      <c r="O99" s="32">
        <v>4790.9238867785689</v>
      </c>
      <c r="P99" s="33">
        <v>26.687298250206769</v>
      </c>
      <c r="Q99" s="34">
        <v>14026.843960308677</v>
      </c>
      <c r="R99" s="34">
        <v>12623.616194470878</v>
      </c>
      <c r="S99" s="35">
        <v>8.1466315835400955</v>
      </c>
      <c r="T99" s="36">
        <v>4281.8695603086744</v>
      </c>
      <c r="U99" s="36">
        <v>3816.5392713939536</v>
      </c>
      <c r="V99" s="37">
        <v>10.404216689923075</v>
      </c>
      <c r="W99" s="38">
        <v>5468.4562922235682</v>
      </c>
      <c r="X99" s="38">
        <v>4888.9238867785698</v>
      </c>
    </row>
    <row r="100" spans="1:24" x14ac:dyDescent="0.3">
      <c r="A100" s="24" t="s">
        <v>15</v>
      </c>
      <c r="B100" s="25" t="s">
        <v>109</v>
      </c>
      <c r="C100" s="25">
        <v>4</v>
      </c>
      <c r="D100" s="25">
        <v>48</v>
      </c>
      <c r="E100" s="25">
        <f>_xlfn.XLOOKUP(B100,'[1]Standard Configuration'!$B$5:$B$135,'[1]Standard Configuration'!$F$5:$F$135)</f>
        <v>170</v>
      </c>
      <c r="F100" s="26">
        <v>110</v>
      </c>
      <c r="G100" s="27">
        <v>5.9657843224094558</v>
      </c>
      <c r="H100" s="28">
        <v>3135.6162398584102</v>
      </c>
      <c r="I100" s="28">
        <v>2735.3105745137059</v>
      </c>
      <c r="J100" s="29">
        <v>9.6213302323106369</v>
      </c>
      <c r="K100" s="30">
        <v>5056.9711701024708</v>
      </c>
      <c r="L100" s="30">
        <v>4462.230854391466</v>
      </c>
      <c r="M100" s="31">
        <v>20.192084558816077</v>
      </c>
      <c r="N100" s="32">
        <v>10612.959644113731</v>
      </c>
      <c r="O100" s="32">
        <v>9493.0028822060121</v>
      </c>
      <c r="P100" s="33">
        <v>53.170867064726252</v>
      </c>
      <c r="Q100" s="34">
        <v>27946.607729220119</v>
      </c>
      <c r="R100" s="34">
        <v>25158.387497590633</v>
      </c>
      <c r="S100" s="35">
        <v>16.089533731392905</v>
      </c>
      <c r="T100" s="36">
        <v>8456.6589292201115</v>
      </c>
      <c r="U100" s="36">
        <v>7544.2336514367826</v>
      </c>
      <c r="V100" s="37">
        <v>20.604703944158867</v>
      </c>
      <c r="W100" s="38">
        <v>10829.832393049901</v>
      </c>
      <c r="X100" s="38">
        <v>9689.002882206014</v>
      </c>
    </row>
    <row r="101" spans="1:24" x14ac:dyDescent="0.3">
      <c r="A101" s="24" t="s">
        <v>15</v>
      </c>
      <c r="B101" s="25" t="s">
        <v>110</v>
      </c>
      <c r="C101" s="25">
        <v>6</v>
      </c>
      <c r="D101" s="25">
        <v>72</v>
      </c>
      <c r="E101" s="25">
        <f>_xlfn.XLOOKUP(B101,'[1]Standard Configuration'!$B$5:$B$135,'[1]Standard Configuration'!$F$5:$F$135)</f>
        <v>210</v>
      </c>
      <c r="F101" s="26">
        <v>130</v>
      </c>
      <c r="G101" s="27">
        <v>8.8060658786330848</v>
      </c>
      <c r="H101" s="28">
        <v>4628.468225809549</v>
      </c>
      <c r="I101" s="28">
        <v>4040.7744378247712</v>
      </c>
      <c r="J101" s="29">
        <v>13.71053060181627</v>
      </c>
      <c r="K101" s="30">
        <v>7206.2548843146324</v>
      </c>
      <c r="L101" s="30">
        <v>6357.7769050122115</v>
      </c>
      <c r="M101" s="31">
        <v>25.619334200146085</v>
      </c>
      <c r="N101" s="32">
        <v>13465.522055596784</v>
      </c>
      <c r="O101" s="32">
        <v>12027.312899363233</v>
      </c>
      <c r="P101" s="33">
        <v>66.031095429460507</v>
      </c>
      <c r="Q101" s="34">
        <v>34705.943757724446</v>
      </c>
      <c r="R101" s="34">
        <v>31223.466745517078</v>
      </c>
      <c r="S101" s="35">
        <v>23.991689992108263</v>
      </c>
      <c r="T101" s="36">
        <v>12610.032259852103</v>
      </c>
      <c r="U101" s="36">
        <v>11254.159053209385</v>
      </c>
      <c r="V101" s="37">
        <v>30.764445311257202</v>
      </c>
      <c r="W101" s="38">
        <v>16169.792455596784</v>
      </c>
      <c r="X101" s="38">
        <v>14471.312899363229</v>
      </c>
    </row>
    <row r="102" spans="1:24" x14ac:dyDescent="0.3">
      <c r="A102" s="24" t="s">
        <v>15</v>
      </c>
      <c r="B102" s="25" t="s">
        <v>111</v>
      </c>
      <c r="C102" s="25">
        <v>8</v>
      </c>
      <c r="D102" s="25">
        <v>96</v>
      </c>
      <c r="E102" s="25">
        <f>_xlfn.XLOOKUP(B102,'[1]Standard Configuration'!$B$5:$B$135,'[1]Standard Configuration'!$F$5:$F$135)</f>
        <v>240</v>
      </c>
      <c r="F102" s="26">
        <v>160</v>
      </c>
      <c r="G102" s="27">
        <v>11.687093321994171</v>
      </c>
      <c r="H102" s="28">
        <v>6142.736250040135</v>
      </c>
      <c r="I102" s="28">
        <v>5364.0072794060616</v>
      </c>
      <c r="J102" s="29">
        <v>17.758985084184452</v>
      </c>
      <c r="K102" s="30">
        <v>9334.1225602473478</v>
      </c>
      <c r="L102" s="30">
        <v>8235.5539773627315</v>
      </c>
      <c r="M102" s="31">
        <v>28.500361643507173</v>
      </c>
      <c r="N102" s="32">
        <v>14979.790079827369</v>
      </c>
      <c r="O102" s="32">
        <v>13350.545740944524</v>
      </c>
      <c r="P102" s="33">
        <v>68.912122872821598</v>
      </c>
      <c r="Q102" s="34">
        <v>36220.211781955033</v>
      </c>
      <c r="R102" s="34">
        <v>32546.699587098366</v>
      </c>
      <c r="S102" s="35">
        <v>31.934592139961072</v>
      </c>
      <c r="T102" s="36">
        <v>16784.821628763537</v>
      </c>
      <c r="U102" s="36">
        <v>14981.853433252216</v>
      </c>
      <c r="V102" s="37">
        <v>40.964932565492994</v>
      </c>
      <c r="W102" s="38">
        <v>21531.168556423119</v>
      </c>
      <c r="X102" s="38">
        <v>19271.391894790679</v>
      </c>
    </row>
    <row r="103" spans="1:24" x14ac:dyDescent="0.3">
      <c r="A103" s="24" t="s">
        <v>15</v>
      </c>
      <c r="B103" s="25" t="s">
        <v>112</v>
      </c>
      <c r="C103" s="25">
        <v>12</v>
      </c>
      <c r="D103" s="25">
        <v>144</v>
      </c>
      <c r="E103" s="25">
        <f>_xlfn.XLOOKUP(B103,'[1]Standard Configuration'!$B$5:$B$135,'[1]Standard Configuration'!$F$5:$F$135)</f>
        <v>310</v>
      </c>
      <c r="F103" s="26">
        <v>210</v>
      </c>
      <c r="G103" s="27">
        <v>17.408402321578883</v>
      </c>
      <c r="H103" s="28">
        <v>9149.8562602218626</v>
      </c>
      <c r="I103" s="28">
        <v>7992.7039842984177</v>
      </c>
      <c r="J103" s="29">
        <v>25.896639936058264</v>
      </c>
      <c r="K103" s="30">
        <v>13611.273950392224</v>
      </c>
      <c r="L103" s="30">
        <v>12008.877100334001</v>
      </c>
      <c r="M103" s="31">
        <v>34.22167064309189</v>
      </c>
      <c r="N103" s="32">
        <v>17986.910090009096</v>
      </c>
      <c r="O103" s="32">
        <v>15979.242445836879</v>
      </c>
      <c r="P103" s="33">
        <v>74.633431872406319</v>
      </c>
      <c r="Q103" s="34">
        <v>39227.331792136756</v>
      </c>
      <c r="R103" s="34">
        <v>35175.396291990728</v>
      </c>
      <c r="S103" s="35">
        <v>40.185866860585982</v>
      </c>
      <c r="T103" s="36">
        <v>21121.69162192399</v>
      </c>
      <c r="U103" s="36">
        <v>18812.319368913799</v>
      </c>
      <c r="V103" s="37">
        <v>45.954441328671081</v>
      </c>
      <c r="W103" s="38">
        <v>24153.654362349524</v>
      </c>
      <c r="X103" s="38">
        <v>21552.473215067646</v>
      </c>
    </row>
    <row r="104" spans="1:24" x14ac:dyDescent="0.3">
      <c r="A104" s="24" t="s">
        <v>15</v>
      </c>
      <c r="B104" s="25" t="s">
        <v>113</v>
      </c>
      <c r="C104" s="25">
        <v>16</v>
      </c>
      <c r="D104" s="25">
        <v>192</v>
      </c>
      <c r="E104" s="25">
        <f>_xlfn.XLOOKUP(B104,'[1]Standard Configuration'!$B$5:$B$135,'[1]Standard Configuration'!$F$5:$F$135)</f>
        <v>370</v>
      </c>
      <c r="F104" s="26">
        <v>270</v>
      </c>
      <c r="G104" s="27">
        <v>23.170457208301062</v>
      </c>
      <c r="H104" s="28">
        <v>12178.392308683036</v>
      </c>
      <c r="I104" s="28">
        <v>10639.169667460998</v>
      </c>
      <c r="J104" s="29">
        <v>33.993548900794622</v>
      </c>
      <c r="K104" s="30">
        <v>17867.009302257651</v>
      </c>
      <c r="L104" s="30">
        <v>15764.431245035043</v>
      </c>
      <c r="M104" s="31">
        <v>39.983725529814052</v>
      </c>
      <c r="N104" s="32">
        <v>21015.446138470266</v>
      </c>
      <c r="O104" s="32">
        <v>18625.70812899946</v>
      </c>
      <c r="P104" s="33">
        <v>80.395486759128474</v>
      </c>
      <c r="Q104" s="34">
        <v>42255.86784059793</v>
      </c>
      <c r="R104" s="34">
        <v>37821.861975153304</v>
      </c>
      <c r="S104" s="35">
        <v>53.540409926977176</v>
      </c>
      <c r="T104" s="36">
        <v>28140.839457619204</v>
      </c>
      <c r="U104" s="36">
        <v>25065.323513614847</v>
      </c>
      <c r="V104" s="37">
        <v>61.231842551090665</v>
      </c>
      <c r="W104" s="38">
        <v>32183.456444853255</v>
      </c>
      <c r="X104" s="38">
        <v>28718.861975153304</v>
      </c>
    </row>
    <row r="105" spans="1:24" x14ac:dyDescent="0.3">
      <c r="A105" s="24" t="s">
        <v>15</v>
      </c>
      <c r="B105" s="25" t="s">
        <v>114</v>
      </c>
      <c r="C105" s="25">
        <v>24</v>
      </c>
      <c r="D105" s="25">
        <v>288</v>
      </c>
      <c r="E105" s="25">
        <f>_xlfn.XLOOKUP(B105,'[1]Standard Configuration'!$B$5:$B$135,'[1]Standard Configuration'!$F$5:$F$135)</f>
        <v>510</v>
      </c>
      <c r="F105" s="26">
        <v>370</v>
      </c>
      <c r="G105" s="27">
        <v>34.613075207470487</v>
      </c>
      <c r="H105" s="28">
        <v>18192.632329046486</v>
      </c>
      <c r="I105" s="28">
        <v>15896.563077245708</v>
      </c>
      <c r="J105" s="29">
        <v>50.268858604542245</v>
      </c>
      <c r="K105" s="30">
        <v>26421.312082547407</v>
      </c>
      <c r="L105" s="30">
        <v>23311.077490977579</v>
      </c>
      <c r="M105" s="31">
        <v>51.426343528983494</v>
      </c>
      <c r="N105" s="32">
        <v>27029.68615883372</v>
      </c>
      <c r="O105" s="32">
        <v>23883.101538784169</v>
      </c>
      <c r="P105" s="33">
        <v>91.838104758297931</v>
      </c>
      <c r="Q105" s="34">
        <v>48270.107860961391</v>
      </c>
      <c r="R105" s="34">
        <v>43079.255384938013</v>
      </c>
      <c r="S105" s="35">
        <v>80.168004285484685</v>
      </c>
      <c r="T105" s="36">
        <v>42136.303052450749</v>
      </c>
      <c r="U105" s="36">
        <v>37535.793846476474</v>
      </c>
      <c r="V105" s="37">
        <v>91.705153221654896</v>
      </c>
      <c r="W105" s="38">
        <v>48200.228533301808</v>
      </c>
      <c r="X105" s="38">
        <v>43016.101538784169</v>
      </c>
    </row>
    <row r="106" spans="1:24" x14ac:dyDescent="0.3">
      <c r="A106" s="24" t="s">
        <v>15</v>
      </c>
      <c r="B106" s="25" t="s">
        <v>115</v>
      </c>
      <c r="C106" s="25">
        <v>32</v>
      </c>
      <c r="D106" s="25">
        <v>384</v>
      </c>
      <c r="E106" s="25">
        <f>_xlfn.XLOOKUP(B106,'[1]Standard Configuration'!$B$5:$B$135,'[1]Standard Configuration'!$F$5:$F$135)</f>
        <v>640</v>
      </c>
      <c r="F106" s="26">
        <v>480</v>
      </c>
      <c r="G106" s="27">
        <v>72.744135174592245</v>
      </c>
      <c r="H106" s="28">
        <v>38234.317447765687</v>
      </c>
      <c r="I106" s="28">
        <v>33438.190938749198</v>
      </c>
      <c r="J106" s="29">
        <v>107.24216767454412</v>
      </c>
      <c r="K106" s="30">
        <v>56366.483329740382</v>
      </c>
      <c r="L106" s="30">
        <v>49799.866385944595</v>
      </c>
      <c r="M106" s="31">
        <v>89.557403496105252</v>
      </c>
      <c r="N106" s="32">
        <v>47071.37127755292</v>
      </c>
      <c r="O106" s="32">
        <v>41424.729400287652</v>
      </c>
      <c r="P106" s="33">
        <v>129.96916472541969</v>
      </c>
      <c r="Q106" s="34">
        <v>68311.792979680584</v>
      </c>
      <c r="R106" s="34">
        <v>60620.883246441503</v>
      </c>
      <c r="S106" s="35">
        <v>133.48404061194452</v>
      </c>
      <c r="T106" s="36">
        <v>70159.211745638037</v>
      </c>
      <c r="U106" s="36">
        <v>62290.4986310569</v>
      </c>
      <c r="V106" s="37">
        <v>160.57830065922582</v>
      </c>
      <c r="W106" s="38">
        <v>84399.954826489091</v>
      </c>
      <c r="X106" s="38">
        <v>75160.652477210737</v>
      </c>
    </row>
    <row r="107" spans="1:24" x14ac:dyDescent="0.3">
      <c r="A107" s="24" t="s">
        <v>15</v>
      </c>
      <c r="B107" s="25" t="s">
        <v>116</v>
      </c>
      <c r="C107" s="25">
        <v>40</v>
      </c>
      <c r="D107" s="25">
        <v>480</v>
      </c>
      <c r="E107" s="25">
        <f>_xlfn.XLOOKUP(B107,'[1]Standard Configuration'!$B$5:$B$135,'[1]Standard Configuration'!$F$5:$F$135)</f>
        <v>780</v>
      </c>
      <c r="F107" s="26">
        <v>580</v>
      </c>
      <c r="G107" s="27">
        <v>90.848677193965386</v>
      </c>
      <c r="H107" s="28">
        <v>47750.064733148203</v>
      </c>
      <c r="I107" s="28">
        <v>41762.200716896041</v>
      </c>
      <c r="J107" s="29">
        <v>133.70216369163964</v>
      </c>
      <c r="K107" s="30">
        <v>70273.857236325784</v>
      </c>
      <c r="L107" s="30">
        <v>62086.490538710801</v>
      </c>
      <c r="M107" s="31">
        <v>107.66194551547838</v>
      </c>
      <c r="N107" s="32">
        <v>56587.118562935444</v>
      </c>
      <c r="O107" s="32">
        <v>49748.739178434502</v>
      </c>
      <c r="P107" s="33">
        <v>148.07370674479279</v>
      </c>
      <c r="Q107" s="34">
        <v>77827.540265063086</v>
      </c>
      <c r="R107" s="34">
        <v>68944.893024588353</v>
      </c>
      <c r="S107" s="35">
        <v>166.77355899065569</v>
      </c>
      <c r="T107" s="36">
        <v>87656.182605488619</v>
      </c>
      <c r="U107" s="36">
        <v>77827.585332280651</v>
      </c>
      <c r="V107" s="37">
        <v>200.64138404975733</v>
      </c>
      <c r="W107" s="38">
        <v>105457.11145655246</v>
      </c>
      <c r="X107" s="38">
        <v>93915.277639972963</v>
      </c>
    </row>
    <row r="108" spans="1:24" x14ac:dyDescent="0.3">
      <c r="A108" s="24" t="s">
        <v>15</v>
      </c>
      <c r="B108" s="25" t="s">
        <v>117</v>
      </c>
      <c r="C108" s="25">
        <v>1</v>
      </c>
      <c r="D108" s="25">
        <v>14</v>
      </c>
      <c r="E108" s="25">
        <f>_xlfn.XLOOKUP(B108,'[1]Standard Configuration'!$B$5:$B$135,'[1]Standard Configuration'!$F$5:$F$135)</f>
        <v>120</v>
      </c>
      <c r="F108" s="26">
        <v>70</v>
      </c>
      <c r="G108" s="27">
        <v>1.7989727461613307</v>
      </c>
      <c r="H108" s="28">
        <v>945.54007538239557</v>
      </c>
      <c r="I108" s="28">
        <v>821.19284219103588</v>
      </c>
      <c r="J108" s="29">
        <v>3.6626322104144156</v>
      </c>
      <c r="K108" s="30">
        <v>1925.0794897938167</v>
      </c>
      <c r="L108" s="30">
        <v>1698.5277976447251</v>
      </c>
      <c r="M108" s="31">
        <v>8.9121228643646404</v>
      </c>
      <c r="N108" s="32">
        <v>4684.2117775100551</v>
      </c>
      <c r="O108" s="32">
        <v>4200.0389960371895</v>
      </c>
      <c r="P108" s="33">
        <v>25.401514117319728</v>
      </c>
      <c r="Q108" s="34">
        <v>13351.035820063245</v>
      </c>
      <c r="R108" s="34">
        <v>12032.731303729497</v>
      </c>
      <c r="S108" s="35">
        <v>4.3299100984071943</v>
      </c>
      <c r="T108" s="36">
        <v>2275.8007477228216</v>
      </c>
      <c r="U108" s="36">
        <v>2023.4236114218047</v>
      </c>
      <c r="V108" s="37">
        <v>5.4587026515986841</v>
      </c>
      <c r="W108" s="38">
        <v>2869.094113680268</v>
      </c>
      <c r="X108" s="38">
        <v>2559.6159191141128</v>
      </c>
    </row>
    <row r="109" spans="1:24" x14ac:dyDescent="0.3">
      <c r="A109" s="24" t="s">
        <v>15</v>
      </c>
      <c r="B109" s="25" t="s">
        <v>118</v>
      </c>
      <c r="C109" s="25">
        <v>2</v>
      </c>
      <c r="D109" s="25">
        <v>28</v>
      </c>
      <c r="E109" s="25">
        <f>_xlfn.XLOOKUP(B109,'[1]Standard Configuration'!$B$5:$B$135,'[1]Standard Configuration'!$F$5:$F$135)</f>
        <v>140</v>
      </c>
      <c r="F109" s="26">
        <v>90</v>
      </c>
      <c r="G109" s="27">
        <v>3.3942160566353778</v>
      </c>
      <c r="H109" s="28">
        <v>1783.9999593675545</v>
      </c>
      <c r="I109" s="28">
        <v>1553.5407930309468</v>
      </c>
      <c r="J109" s="29">
        <v>5.8415890403920079</v>
      </c>
      <c r="K109" s="30">
        <v>3070.3391996300393</v>
      </c>
      <c r="L109" s="30">
        <v>2708.1478638692511</v>
      </c>
      <c r="M109" s="31">
        <v>10.507366174838689</v>
      </c>
      <c r="N109" s="32">
        <v>5522.6716614952138</v>
      </c>
      <c r="O109" s="32">
        <v>4932.3869468771009</v>
      </c>
      <c r="P109" s="33">
        <v>26.996757427793778</v>
      </c>
      <c r="Q109" s="34">
        <v>14189.495704048408</v>
      </c>
      <c r="R109" s="34">
        <v>12765.079254569408</v>
      </c>
      <c r="S109" s="35">
        <v>8.4560907611271041</v>
      </c>
      <c r="T109" s="36">
        <v>4444.5213040484059</v>
      </c>
      <c r="U109" s="36">
        <v>3958.0023314924852</v>
      </c>
      <c r="V109" s="37">
        <v>10.713675867510082</v>
      </c>
      <c r="W109" s="38">
        <v>5631.1080359632988</v>
      </c>
      <c r="X109" s="38">
        <v>5030.3869468771018</v>
      </c>
    </row>
    <row r="110" spans="1:24" x14ac:dyDescent="0.3">
      <c r="A110" s="24" t="s">
        <v>15</v>
      </c>
      <c r="B110" s="25" t="s">
        <v>119</v>
      </c>
      <c r="C110" s="25">
        <v>4</v>
      </c>
      <c r="D110" s="25">
        <v>56</v>
      </c>
      <c r="E110" s="25">
        <f>_xlfn.XLOOKUP(B110,'[1]Standard Configuration'!$B$5:$B$135,'[1]Standard Configuration'!$F$5:$F$135)</f>
        <v>180</v>
      </c>
      <c r="F110" s="26">
        <v>120</v>
      </c>
      <c r="G110" s="27">
        <v>6.5439567904460141</v>
      </c>
      <c r="H110" s="28">
        <v>3439.5036890584247</v>
      </c>
      <c r="I110" s="28">
        <v>3000.4677164405439</v>
      </c>
      <c r="J110" s="29">
        <v>10.199502700347194</v>
      </c>
      <c r="K110" s="30">
        <v>5360.8586193024848</v>
      </c>
      <c r="L110" s="30">
        <v>4727.3879963183044</v>
      </c>
      <c r="M110" s="31">
        <v>20.770257026852637</v>
      </c>
      <c r="N110" s="32">
        <v>10916.847093313745</v>
      </c>
      <c r="O110" s="32">
        <v>9758.1600241328524</v>
      </c>
      <c r="P110" s="33">
        <v>53.749039532762808</v>
      </c>
      <c r="Q110" s="34">
        <v>28250.495178420133</v>
      </c>
      <c r="R110" s="34">
        <v>25423.544639517462</v>
      </c>
      <c r="S110" s="35">
        <v>16.667706199429468</v>
      </c>
      <c r="T110" s="36">
        <v>8760.5463784201293</v>
      </c>
      <c r="U110" s="36">
        <v>7809.3907933636201</v>
      </c>
      <c r="V110" s="37">
        <v>21.182876412195426</v>
      </c>
      <c r="W110" s="38">
        <v>11133.719842249915</v>
      </c>
      <c r="X110" s="38">
        <v>9954.1600241328542</v>
      </c>
    </row>
    <row r="111" spans="1:24" x14ac:dyDescent="0.3">
      <c r="A111" s="24" t="s">
        <v>15</v>
      </c>
      <c r="B111" s="25" t="s">
        <v>120</v>
      </c>
      <c r="C111" s="25">
        <v>6</v>
      </c>
      <c r="D111" s="25">
        <v>84</v>
      </c>
      <c r="E111" s="25">
        <f>_xlfn.XLOOKUP(B111,'[1]Standard Configuration'!$B$5:$B$135,'[1]Standard Configuration'!$F$5:$F$135)</f>
        <v>220</v>
      </c>
      <c r="F111" s="26">
        <v>150</v>
      </c>
      <c r="G111" s="27">
        <v>9.693697524256649</v>
      </c>
      <c r="H111" s="28">
        <v>5095.0074187492955</v>
      </c>
      <c r="I111" s="28">
        <v>4447.3946398501412</v>
      </c>
      <c r="J111" s="29">
        <v>14.55741636030238</v>
      </c>
      <c r="K111" s="30">
        <v>7651.3780389749309</v>
      </c>
      <c r="L111" s="30">
        <v>6746.6281287673573</v>
      </c>
      <c r="M111" s="31">
        <v>26.506965845769656</v>
      </c>
      <c r="N111" s="32">
        <v>13932.061248536533</v>
      </c>
      <c r="O111" s="32">
        <v>12433.933101388599</v>
      </c>
      <c r="P111" s="33">
        <v>66.918727075084078</v>
      </c>
      <c r="Q111" s="34">
        <v>35172.482950664191</v>
      </c>
      <c r="R111" s="34">
        <v>31630.086947542448</v>
      </c>
      <c r="S111" s="35">
        <v>24.879321637731831</v>
      </c>
      <c r="T111" s="36">
        <v>13076.571452791852</v>
      </c>
      <c r="U111" s="36">
        <v>11660.779255234755</v>
      </c>
      <c r="V111" s="37">
        <v>31.652076956880773</v>
      </c>
      <c r="W111" s="38">
        <v>16636.331648536536</v>
      </c>
      <c r="X111" s="38">
        <v>14877.933101388602</v>
      </c>
    </row>
    <row r="112" spans="1:24" x14ac:dyDescent="0.3">
      <c r="A112" s="24" t="s">
        <v>15</v>
      </c>
      <c r="B112" s="25" t="s">
        <v>121</v>
      </c>
      <c r="C112" s="25">
        <v>8</v>
      </c>
      <c r="D112" s="25">
        <v>112</v>
      </c>
      <c r="E112" s="25">
        <f>_xlfn.XLOOKUP(B112,'[1]Standard Configuration'!$B$5:$B$135,'[1]Standard Configuration'!$F$5:$F$135)</f>
        <v>260</v>
      </c>
      <c r="F112" s="26">
        <v>180</v>
      </c>
      <c r="G112" s="27">
        <v>12.843438258067286</v>
      </c>
      <c r="H112" s="28">
        <v>6750.5111484401659</v>
      </c>
      <c r="I112" s="28">
        <v>5894.3215632597376</v>
      </c>
      <c r="J112" s="29">
        <v>18.915330020257564</v>
      </c>
      <c r="K112" s="30">
        <v>9941.8974586473742</v>
      </c>
      <c r="L112" s="30">
        <v>8765.8682612164102</v>
      </c>
      <c r="M112" s="31">
        <v>29.656706579580295</v>
      </c>
      <c r="N112" s="32">
        <v>15587.564978227403</v>
      </c>
      <c r="O112" s="32">
        <v>13880.860024798198</v>
      </c>
      <c r="P112" s="33">
        <v>70.068467808894724</v>
      </c>
      <c r="Q112" s="34">
        <v>36827.986680355069</v>
      </c>
      <c r="R112" s="34">
        <v>33077.013870952047</v>
      </c>
      <c r="S112" s="35">
        <v>33.090937076034194</v>
      </c>
      <c r="T112" s="36">
        <v>17392.596527163572</v>
      </c>
      <c r="U112" s="36">
        <v>15512.167717105891</v>
      </c>
      <c r="V112" s="37">
        <v>42.121277501566112</v>
      </c>
      <c r="W112" s="38">
        <v>22138.943454823147</v>
      </c>
      <c r="X112" s="38">
        <v>19801.706178644356</v>
      </c>
    </row>
    <row r="113" spans="1:24" x14ac:dyDescent="0.3">
      <c r="A113" s="24" t="s">
        <v>15</v>
      </c>
      <c r="B113" s="25" t="s">
        <v>122</v>
      </c>
      <c r="C113" s="25">
        <v>12</v>
      </c>
      <c r="D113" s="25">
        <v>168</v>
      </c>
      <c r="E113" s="25">
        <f>_xlfn.XLOOKUP(B113,'[1]Standard Configuration'!$B$5:$B$135,'[1]Standard Configuration'!$F$5:$F$135)</f>
        <v>340</v>
      </c>
      <c r="F113" s="26">
        <v>240</v>
      </c>
      <c r="G113" s="27">
        <v>19.142919725688561</v>
      </c>
      <c r="H113" s="28">
        <v>10061.518607821905</v>
      </c>
      <c r="I113" s="28">
        <v>8788.1754100789312</v>
      </c>
      <c r="J113" s="29">
        <v>27.631157340167942</v>
      </c>
      <c r="K113" s="30">
        <v>14522.93629799227</v>
      </c>
      <c r="L113" s="30">
        <v>12804.348526114514</v>
      </c>
      <c r="M113" s="31">
        <v>35.956188047201572</v>
      </c>
      <c r="N113" s="32">
        <v>18898.572437609142</v>
      </c>
      <c r="O113" s="32">
        <v>16774.71387161739</v>
      </c>
      <c r="P113" s="33">
        <v>76.367949276515986</v>
      </c>
      <c r="Q113" s="34">
        <v>40138.994139736802</v>
      </c>
      <c r="R113" s="34">
        <v>35970.867717771245</v>
      </c>
      <c r="S113" s="35">
        <v>41.920384264695656</v>
      </c>
      <c r="T113" s="36">
        <v>22033.353969524036</v>
      </c>
      <c r="U113" s="36">
        <v>19607.790794694316</v>
      </c>
      <c r="V113" s="37">
        <v>47.688958732780769</v>
      </c>
      <c r="W113" s="38">
        <v>25065.316709949569</v>
      </c>
      <c r="X113" s="38">
        <v>22347.94464084816</v>
      </c>
    </row>
    <row r="114" spans="1:24" x14ac:dyDescent="0.3">
      <c r="A114" s="24" t="s">
        <v>15</v>
      </c>
      <c r="B114" s="25" t="s">
        <v>123</v>
      </c>
      <c r="C114" s="25">
        <v>16</v>
      </c>
      <c r="D114" s="25">
        <v>224</v>
      </c>
      <c r="E114" s="25">
        <f>_xlfn.XLOOKUP(B114,'[1]Standard Configuration'!$B$5:$B$135,'[1]Standard Configuration'!$F$5:$F$135)</f>
        <v>420</v>
      </c>
      <c r="F114" s="26">
        <v>300</v>
      </c>
      <c r="G114" s="27">
        <v>25.442401193309834</v>
      </c>
      <c r="H114" s="28">
        <v>13372.526067203649</v>
      </c>
      <c r="I114" s="28">
        <v>11682.029256898126</v>
      </c>
      <c r="J114" s="29">
        <v>36.346984660078306</v>
      </c>
      <c r="K114" s="30">
        <v>19103.975137337155</v>
      </c>
      <c r="L114" s="30">
        <v>16842.82879101262</v>
      </c>
      <c r="M114" s="31">
        <v>42.255669514822834</v>
      </c>
      <c r="N114" s="32">
        <v>22209.579896990883</v>
      </c>
      <c r="O114" s="32">
        <v>19668.567718436585</v>
      </c>
      <c r="P114" s="33">
        <v>82.667430744137263</v>
      </c>
      <c r="Q114" s="34">
        <v>43450.001599118543</v>
      </c>
      <c r="R114" s="34">
        <v>38864.721564590436</v>
      </c>
      <c r="S114" s="35">
        <v>55.812353911985966</v>
      </c>
      <c r="T114" s="36">
        <v>29334.973216139824</v>
      </c>
      <c r="U114" s="36">
        <v>26108.183103051968</v>
      </c>
      <c r="V114" s="37">
        <v>63.503786536099433</v>
      </c>
      <c r="W114" s="38">
        <v>33377.59020337386</v>
      </c>
      <c r="X114" s="38">
        <v>29761.721564590436</v>
      </c>
    </row>
    <row r="115" spans="1:24" x14ac:dyDescent="0.3">
      <c r="A115" s="24" t="s">
        <v>15</v>
      </c>
      <c r="B115" s="25" t="s">
        <v>124</v>
      </c>
      <c r="C115" s="25">
        <v>24</v>
      </c>
      <c r="D115" s="25">
        <v>336</v>
      </c>
      <c r="E115" s="25">
        <f>_xlfn.XLOOKUP(B115,'[1]Standard Configuration'!$B$5:$B$135,'[1]Standard Configuration'!$F$5:$F$135)</f>
        <v>580</v>
      </c>
      <c r="F115" s="26">
        <v>420</v>
      </c>
      <c r="G115" s="27">
        <v>38.041364128552374</v>
      </c>
      <c r="H115" s="28">
        <v>19994.540985967127</v>
      </c>
      <c r="I115" s="28">
        <v>17469.736950536513</v>
      </c>
      <c r="J115" s="29">
        <v>53.778639299899055</v>
      </c>
      <c r="K115" s="30">
        <v>28266.052816026942</v>
      </c>
      <c r="L115" s="30">
        <v>24919.789320808832</v>
      </c>
      <c r="M115" s="31">
        <v>54.854632450065388</v>
      </c>
      <c r="N115" s="32">
        <v>28831.594815754364</v>
      </c>
      <c r="O115" s="32">
        <v>25456.275412074974</v>
      </c>
      <c r="P115" s="33">
        <v>95.266393679379817</v>
      </c>
      <c r="Q115" s="34">
        <v>50072.016517882039</v>
      </c>
      <c r="R115" s="34">
        <v>44652.429258228818</v>
      </c>
      <c r="S115" s="35">
        <v>83.596293206566557</v>
      </c>
      <c r="T115" s="36">
        <v>43938.211709371382</v>
      </c>
      <c r="U115" s="36">
        <v>39108.967719767279</v>
      </c>
      <c r="V115" s="37">
        <v>95.133442142736783</v>
      </c>
      <c r="W115" s="38">
        <v>50002.137190222449</v>
      </c>
      <c r="X115" s="38">
        <v>44589.275412074974</v>
      </c>
    </row>
    <row r="116" spans="1:24" x14ac:dyDescent="0.3">
      <c r="A116" s="24" t="s">
        <v>15</v>
      </c>
      <c r="B116" s="25" t="s">
        <v>125</v>
      </c>
      <c r="C116" s="25">
        <v>32</v>
      </c>
      <c r="D116" s="25">
        <v>448</v>
      </c>
      <c r="E116" s="25">
        <f>_xlfn.XLOOKUP(B116,'[1]Standard Configuration'!$B$5:$B$135,'[1]Standard Configuration'!$F$5:$F$135)</f>
        <v>730</v>
      </c>
      <c r="F116" s="26">
        <v>550</v>
      </c>
      <c r="G116" s="27">
        <v>80.135259751819632</v>
      </c>
      <c r="H116" s="28">
        <v>42119.0925255564</v>
      </c>
      <c r="I116" s="28">
        <v>36833.562694945489</v>
      </c>
      <c r="J116" s="29">
        <v>114.7147840260464</v>
      </c>
      <c r="K116" s="30">
        <v>60294.090484089989</v>
      </c>
      <c r="L116" s="30">
        <v>53230.77609868133</v>
      </c>
      <c r="M116" s="31">
        <v>96.948528073332639</v>
      </c>
      <c r="N116" s="32">
        <v>50956.146355343633</v>
      </c>
      <c r="O116" s="32">
        <v>44820.10115648395</v>
      </c>
      <c r="P116" s="33">
        <v>137.36028930264706</v>
      </c>
      <c r="Q116" s="34">
        <v>72196.56805747129</v>
      </c>
      <c r="R116" s="34">
        <v>64016.255002637787</v>
      </c>
      <c r="S116" s="35">
        <v>140.8751651891719</v>
      </c>
      <c r="T116" s="36">
        <v>74043.986823428757</v>
      </c>
      <c r="U116" s="36">
        <v>65685.870387253177</v>
      </c>
      <c r="V116" s="37">
        <v>167.96942523645322</v>
      </c>
      <c r="W116" s="38">
        <v>88284.729904279811</v>
      </c>
      <c r="X116" s="38">
        <v>78556.024233407021</v>
      </c>
    </row>
    <row r="117" spans="1:24" x14ac:dyDescent="0.3">
      <c r="A117" s="24" t="s">
        <v>15</v>
      </c>
      <c r="B117" s="25" t="s">
        <v>126</v>
      </c>
      <c r="C117" s="25">
        <v>40</v>
      </c>
      <c r="D117" s="25">
        <v>560</v>
      </c>
      <c r="E117" s="25">
        <f>_xlfn.XLOOKUP(B117,'[1]Standard Configuration'!$B$5:$B$135,'[1]Standard Configuration'!$F$5:$F$135)</f>
        <v>890</v>
      </c>
      <c r="F117" s="26">
        <v>670</v>
      </c>
      <c r="G117" s="27">
        <v>100.097769387284</v>
      </c>
      <c r="H117" s="28">
        <v>52611.387589956466</v>
      </c>
      <c r="I117" s="28">
        <v>46010.857656708969</v>
      </c>
      <c r="J117" s="29">
        <v>143.03274765923319</v>
      </c>
      <c r="K117" s="30">
        <v>75178.012169692956</v>
      </c>
      <c r="L117" s="30">
        <v>66370.685435064166</v>
      </c>
      <c r="M117" s="31">
        <v>116.91103770879698</v>
      </c>
      <c r="N117" s="32">
        <v>61448.4414197437</v>
      </c>
      <c r="O117" s="32">
        <v>53997.39611824743</v>
      </c>
      <c r="P117" s="33">
        <v>157.32279893811142</v>
      </c>
      <c r="Q117" s="34">
        <v>82688.863121871371</v>
      </c>
      <c r="R117" s="34">
        <v>73193.549964401274</v>
      </c>
      <c r="S117" s="35">
        <v>176.02265118397429</v>
      </c>
      <c r="T117" s="36">
        <v>92517.505462296875</v>
      </c>
      <c r="U117" s="36">
        <v>82076.242272093587</v>
      </c>
      <c r="V117" s="37">
        <v>209.89047624307594</v>
      </c>
      <c r="W117" s="38">
        <v>110318.43431336072</v>
      </c>
      <c r="X117" s="38">
        <v>98163.934579785884</v>
      </c>
    </row>
    <row r="118" spans="1:24" x14ac:dyDescent="0.3">
      <c r="A118" s="24" t="s">
        <v>15</v>
      </c>
      <c r="B118" s="25" t="s">
        <v>127</v>
      </c>
      <c r="C118" s="25">
        <v>2</v>
      </c>
      <c r="D118" s="25">
        <v>32</v>
      </c>
      <c r="E118" s="25">
        <f>_xlfn.XLOOKUP(B118,'[1]Standard Configuration'!$B$5:$B$135,'[1]Standard Configuration'!$F$5:$F$135)</f>
        <v>150</v>
      </c>
      <c r="F118" s="26">
        <v>90</v>
      </c>
      <c r="G118" s="27">
        <v>3.6629293470849271</v>
      </c>
      <c r="H118" s="28">
        <v>1925.2356648278376</v>
      </c>
      <c r="I118" s="28">
        <v>1677.2348748592535</v>
      </c>
      <c r="J118" s="29">
        <v>6.1510482179790129</v>
      </c>
      <c r="K118" s="30">
        <v>3232.990943369769</v>
      </c>
      <c r="L118" s="30">
        <v>2849.6109239677826</v>
      </c>
      <c r="M118" s="31">
        <v>10.776079465288237</v>
      </c>
      <c r="N118" s="32">
        <v>5663.9073669554982</v>
      </c>
      <c r="O118" s="32">
        <v>5056.0810287054064</v>
      </c>
      <c r="P118" s="33">
        <v>27.265470718243325</v>
      </c>
      <c r="Q118" s="34">
        <v>14330.731409508689</v>
      </c>
      <c r="R118" s="34">
        <v>12888.773336397715</v>
      </c>
      <c r="S118" s="35">
        <v>8.724804051576653</v>
      </c>
      <c r="T118" s="36">
        <v>4585.7570095086885</v>
      </c>
      <c r="U118" s="36">
        <v>4081.6964133207912</v>
      </c>
      <c r="V118" s="37">
        <v>10.982389157959632</v>
      </c>
      <c r="W118" s="38">
        <v>5772.3437414235832</v>
      </c>
      <c r="X118" s="38">
        <v>5154.0810287054073</v>
      </c>
    </row>
    <row r="119" spans="1:24" x14ac:dyDescent="0.3">
      <c r="A119" s="24" t="s">
        <v>15</v>
      </c>
      <c r="B119" s="25" t="s">
        <v>128</v>
      </c>
      <c r="C119" s="25">
        <v>4</v>
      </c>
      <c r="D119" s="25">
        <v>64</v>
      </c>
      <c r="E119" s="25">
        <f>_xlfn.XLOOKUP(B119,'[1]Standard Configuration'!$B$5:$B$135,'[1]Standard Configuration'!$F$5:$F$135)</f>
        <v>190</v>
      </c>
      <c r="F119" s="26">
        <v>130</v>
      </c>
      <c r="G119" s="27">
        <v>7.1221292584825697</v>
      </c>
      <c r="H119" s="28">
        <v>3743.3911382584388</v>
      </c>
      <c r="I119" s="28">
        <v>3265.6248583673828</v>
      </c>
      <c r="J119" s="29">
        <v>10.77767516838375</v>
      </c>
      <c r="K119" s="30">
        <v>5664.7460685024989</v>
      </c>
      <c r="L119" s="30">
        <v>4992.545138245142</v>
      </c>
      <c r="M119" s="31">
        <v>21.348429494889196</v>
      </c>
      <c r="N119" s="32">
        <v>11220.734542513761</v>
      </c>
      <c r="O119" s="32">
        <v>10023.317166059689</v>
      </c>
      <c r="P119" s="33">
        <v>54.327212000799356</v>
      </c>
      <c r="Q119" s="34">
        <v>28554.382627620143</v>
      </c>
      <c r="R119" s="34">
        <v>25688.701781444306</v>
      </c>
      <c r="S119" s="35">
        <v>17.245878667466023</v>
      </c>
      <c r="T119" s="36">
        <v>9064.4338276201415</v>
      </c>
      <c r="U119" s="36">
        <v>8074.5479352904576</v>
      </c>
      <c r="V119" s="37">
        <v>21.761048880231982</v>
      </c>
      <c r="W119" s="38">
        <v>11437.607291449929</v>
      </c>
      <c r="X119" s="38">
        <v>10219.317166059691</v>
      </c>
    </row>
    <row r="120" spans="1:24" x14ac:dyDescent="0.3">
      <c r="A120" s="24" t="s">
        <v>15</v>
      </c>
      <c r="B120" s="25" t="s">
        <v>129</v>
      </c>
      <c r="C120" s="25">
        <v>8</v>
      </c>
      <c r="D120" s="25">
        <v>128</v>
      </c>
      <c r="E120" s="25">
        <f>_xlfn.XLOOKUP(B120,'[1]Standard Configuration'!$B$5:$B$135,'[1]Standard Configuration'!$F$5:$F$135)</f>
        <v>280</v>
      </c>
      <c r="F120" s="26">
        <v>200</v>
      </c>
      <c r="G120" s="27">
        <v>13.999783194140401</v>
      </c>
      <c r="H120" s="28">
        <v>7358.2860468401941</v>
      </c>
      <c r="I120" s="28">
        <v>6424.6358471134145</v>
      </c>
      <c r="J120" s="29">
        <v>20.071674956330682</v>
      </c>
      <c r="K120" s="30">
        <v>10549.672357047406</v>
      </c>
      <c r="L120" s="30">
        <v>9296.1825450700853</v>
      </c>
      <c r="M120" s="31">
        <v>30.813051515653402</v>
      </c>
      <c r="N120" s="32">
        <v>16195.339876627426</v>
      </c>
      <c r="O120" s="32">
        <v>14411.174308651876</v>
      </c>
      <c r="P120" s="33">
        <v>71.224812744967849</v>
      </c>
      <c r="Q120" s="34">
        <v>37435.761578755097</v>
      </c>
      <c r="R120" s="34">
        <v>33607.328154805728</v>
      </c>
      <c r="S120" s="35">
        <v>34.247282012107298</v>
      </c>
      <c r="T120" s="36">
        <v>18000.371425563597</v>
      </c>
      <c r="U120" s="36">
        <v>16042.482000959566</v>
      </c>
      <c r="V120" s="37">
        <v>43.277622437639224</v>
      </c>
      <c r="W120" s="38">
        <v>22746.718353223176</v>
      </c>
      <c r="X120" s="38">
        <v>20332.020462498032</v>
      </c>
    </row>
    <row r="121" spans="1:24" x14ac:dyDescent="0.3">
      <c r="A121" s="24" t="s">
        <v>15</v>
      </c>
      <c r="B121" s="25" t="s">
        <v>130</v>
      </c>
      <c r="C121" s="25">
        <v>12</v>
      </c>
      <c r="D121" s="25">
        <v>192</v>
      </c>
      <c r="E121" s="25">
        <f>_xlfn.XLOOKUP(B121,'[1]Standard Configuration'!$B$5:$B$135,'[1]Standard Configuration'!$F$5:$F$135)</f>
        <v>370</v>
      </c>
      <c r="F121" s="26">
        <v>270</v>
      </c>
      <c r="G121" s="27">
        <v>20.877437129798231</v>
      </c>
      <c r="H121" s="28">
        <v>10973.180955421949</v>
      </c>
      <c r="I121" s="28">
        <v>9583.6468358594484</v>
      </c>
      <c r="J121" s="29">
        <v>29.365674744277612</v>
      </c>
      <c r="K121" s="30">
        <v>15434.598645592312</v>
      </c>
      <c r="L121" s="30">
        <v>13599.81995189503</v>
      </c>
      <c r="M121" s="31">
        <v>37.690705451311231</v>
      </c>
      <c r="N121" s="32">
        <v>19810.234785209181</v>
      </c>
      <c r="O121" s="32">
        <v>17570.185297397911</v>
      </c>
      <c r="P121" s="33">
        <v>78.102466680625668</v>
      </c>
      <c r="Q121" s="34">
        <v>41050.656487336848</v>
      </c>
      <c r="R121" s="34">
        <v>36766.339143551755</v>
      </c>
      <c r="S121" s="35">
        <v>43.654901668805323</v>
      </c>
      <c r="T121" s="36">
        <v>22945.016317124078</v>
      </c>
      <c r="U121" s="36">
        <v>20403.262220474833</v>
      </c>
      <c r="V121" s="37">
        <v>49.423476136890436</v>
      </c>
      <c r="W121" s="38">
        <v>25976.979057549615</v>
      </c>
      <c r="X121" s="38">
        <v>23143.416066628681</v>
      </c>
    </row>
    <row r="122" spans="1:24" x14ac:dyDescent="0.3">
      <c r="A122" s="24" t="s">
        <v>15</v>
      </c>
      <c r="B122" s="25" t="s">
        <v>131</v>
      </c>
      <c r="C122" s="25">
        <v>16</v>
      </c>
      <c r="D122" s="25">
        <v>256</v>
      </c>
      <c r="E122" s="25">
        <f>_xlfn.XLOOKUP(B122,'[1]Standard Configuration'!$B$5:$B$135,'[1]Standard Configuration'!$F$5:$F$135)</f>
        <v>460</v>
      </c>
      <c r="F122" s="26">
        <v>340</v>
      </c>
      <c r="G122" s="27">
        <v>27.75509106545606</v>
      </c>
      <c r="H122" s="28">
        <v>14588.075864003706</v>
      </c>
      <c r="I122" s="28">
        <v>12742.65782460548</v>
      </c>
      <c r="J122" s="29">
        <v>38.659674532224528</v>
      </c>
      <c r="K122" s="30">
        <v>20319.524934137211</v>
      </c>
      <c r="L122" s="30">
        <v>17903.45735871997</v>
      </c>
      <c r="M122" s="31">
        <v>44.568359386969064</v>
      </c>
      <c r="N122" s="32">
        <v>23425.129693790939</v>
      </c>
      <c r="O122" s="32">
        <v>20729.196286143939</v>
      </c>
      <c r="P122" s="33">
        <v>84.980120616283486</v>
      </c>
      <c r="Q122" s="34">
        <v>44665.551395918599</v>
      </c>
      <c r="R122" s="34">
        <v>39925.350132297783</v>
      </c>
      <c r="S122" s="35">
        <v>58.125043784132195</v>
      </c>
      <c r="T122" s="36">
        <v>30550.523012939881</v>
      </c>
      <c r="U122" s="36">
        <v>27168.811670759329</v>
      </c>
      <c r="V122" s="37">
        <v>65.816476408245677</v>
      </c>
      <c r="W122" s="38">
        <v>34593.140000173924</v>
      </c>
      <c r="X122" s="38">
        <v>30822.350132297783</v>
      </c>
    </row>
    <row r="123" spans="1:24" x14ac:dyDescent="0.3">
      <c r="A123" s="24" t="s">
        <v>15</v>
      </c>
      <c r="B123" s="25" t="s">
        <v>132</v>
      </c>
      <c r="C123" s="25">
        <v>24</v>
      </c>
      <c r="D123" s="25">
        <v>384</v>
      </c>
      <c r="E123" s="25">
        <f>_xlfn.XLOOKUP(B123,'[1]Standard Configuration'!$B$5:$B$135,'[1]Standard Configuration'!$F$5:$F$135)</f>
        <v>640</v>
      </c>
      <c r="F123" s="26">
        <v>480</v>
      </c>
      <c r="G123" s="27">
        <v>41.510398936771722</v>
      </c>
      <c r="H123" s="28">
        <v>21817.865681167219</v>
      </c>
      <c r="I123" s="28">
        <v>19060.679802097548</v>
      </c>
      <c r="J123" s="29">
        <v>57.247674108118403</v>
      </c>
      <c r="K123" s="30">
        <v>30089.377511227034</v>
      </c>
      <c r="L123" s="30">
        <v>26510.732172369866</v>
      </c>
      <c r="M123" s="31">
        <v>58.323667258284729</v>
      </c>
      <c r="N123" s="32">
        <v>30654.919510954453</v>
      </c>
      <c r="O123" s="32">
        <v>27047.218263636008</v>
      </c>
      <c r="P123" s="33">
        <v>98.735428487599151</v>
      </c>
      <c r="Q123" s="34">
        <v>51895.341213082109</v>
      </c>
      <c r="R123" s="34">
        <v>46243.372109789852</v>
      </c>
      <c r="S123" s="35">
        <v>87.065328014785905</v>
      </c>
      <c r="T123" s="36">
        <v>45761.536404571474</v>
      </c>
      <c r="U123" s="36">
        <v>40699.910571328313</v>
      </c>
      <c r="V123" s="37">
        <v>98.602476950956131</v>
      </c>
      <c r="W123" s="38">
        <v>51825.461885422541</v>
      </c>
      <c r="X123" s="38">
        <v>46180.218263636008</v>
      </c>
    </row>
    <row r="124" spans="1:24" x14ac:dyDescent="0.3">
      <c r="A124" s="24" t="s">
        <v>15</v>
      </c>
      <c r="B124" s="25" t="s">
        <v>133</v>
      </c>
      <c r="C124" s="25">
        <v>32</v>
      </c>
      <c r="D124" s="25">
        <v>512</v>
      </c>
      <c r="E124" s="25">
        <f>_xlfn.XLOOKUP(B124,'[1]Standard Configuration'!$B$5:$B$135,'[1]Standard Configuration'!$F$5:$F$135)</f>
        <v>820</v>
      </c>
      <c r="F124" s="26">
        <v>620</v>
      </c>
      <c r="G124" s="27">
        <v>87.526384329047033</v>
      </c>
      <c r="H124" s="28">
        <v>46003.86760334712</v>
      </c>
      <c r="I124" s="28">
        <v>40228.934451141773</v>
      </c>
      <c r="J124" s="29">
        <v>122.18740037754873</v>
      </c>
      <c r="K124" s="30">
        <v>64221.697638439604</v>
      </c>
      <c r="L124" s="30">
        <v>56661.685811418072</v>
      </c>
      <c r="M124" s="31">
        <v>104.33965265056005</v>
      </c>
      <c r="N124" s="32">
        <v>54840.921433134354</v>
      </c>
      <c r="O124" s="32">
        <v>48215.472912680234</v>
      </c>
      <c r="P124" s="33">
        <v>144.75141387987446</v>
      </c>
      <c r="Q124" s="34">
        <v>76081.34313526201</v>
      </c>
      <c r="R124" s="34">
        <v>67411.626758834071</v>
      </c>
      <c r="S124" s="35">
        <v>148.2662897663993</v>
      </c>
      <c r="T124" s="36">
        <v>77928.761901219463</v>
      </c>
      <c r="U124" s="36">
        <v>69081.242143449475</v>
      </c>
      <c r="V124" s="37">
        <v>175.36054981368059</v>
      </c>
      <c r="W124" s="38">
        <v>92169.504982070517</v>
      </c>
      <c r="X124" s="38">
        <v>81951.395989603305</v>
      </c>
    </row>
    <row r="125" spans="1:24" x14ac:dyDescent="0.3">
      <c r="A125" s="24" t="s">
        <v>15</v>
      </c>
      <c r="B125" s="25" t="s">
        <v>134</v>
      </c>
      <c r="C125" s="25">
        <v>32</v>
      </c>
      <c r="D125" s="25">
        <v>512</v>
      </c>
      <c r="E125" s="25">
        <f>_xlfn.XLOOKUP(B125,'[1]Standard Configuration'!$B$5:$B$135,'[1]Standard Configuration'!$F$5:$F$135)</f>
        <v>820</v>
      </c>
      <c r="F125" s="26">
        <v>620</v>
      </c>
      <c r="G125" s="27">
        <v>129.75575291165168</v>
      </c>
      <c r="H125" s="28">
        <v>68199.623730364125</v>
      </c>
      <c r="I125" s="28">
        <v>59667.954249066941</v>
      </c>
      <c r="J125" s="29">
        <v>225.0410502840304</v>
      </c>
      <c r="K125" s="30">
        <v>118281.57602928639</v>
      </c>
      <c r="L125" s="30">
        <v>104898.09022472787</v>
      </c>
      <c r="M125" s="31">
        <v>146.56902123316468</v>
      </c>
      <c r="N125" s="32">
        <v>77036.677560151351</v>
      </c>
      <c r="O125" s="32">
        <v>67654.492710605409</v>
      </c>
      <c r="P125" s="33">
        <v>186.98078246247908</v>
      </c>
      <c r="Q125" s="34">
        <v>98277.099262279022</v>
      </c>
      <c r="R125" s="34">
        <v>86850.646556759253</v>
      </c>
      <c r="S125" s="35">
        <v>190.49565834900392</v>
      </c>
      <c r="T125" s="36">
        <v>100124.51802823646</v>
      </c>
      <c r="U125" s="36">
        <v>88520.261941374643</v>
      </c>
      <c r="V125" s="37">
        <v>217.58991839628524</v>
      </c>
      <c r="W125" s="38">
        <v>114365.26110908751</v>
      </c>
      <c r="X125" s="38">
        <v>101390.41578752849</v>
      </c>
    </row>
    <row r="126" spans="1:24" ht="15" thickBot="1" x14ac:dyDescent="0.35">
      <c r="A126" s="39" t="s">
        <v>15</v>
      </c>
      <c r="B126" s="40" t="s">
        <v>135</v>
      </c>
      <c r="C126" s="40">
        <v>12</v>
      </c>
      <c r="D126" s="40">
        <v>240</v>
      </c>
      <c r="E126" s="40">
        <f>_xlfn.XLOOKUP(B126,'[1]Standard Configuration'!$B$5:$B$135,'[1]Standard Configuration'!$F$5:$F$135)</f>
        <v>440</v>
      </c>
      <c r="F126" s="41">
        <v>320</v>
      </c>
      <c r="G126" s="42">
        <v>24.305726050880118</v>
      </c>
      <c r="H126" s="43">
        <v>12775.08961234259</v>
      </c>
      <c r="I126" s="43">
        <v>11156.820709150254</v>
      </c>
      <c r="J126" s="44">
        <v>32.875455439634408</v>
      </c>
      <c r="K126" s="45">
        <v>17279.339379071844</v>
      </c>
      <c r="L126" s="45">
        <v>15208.531781726289</v>
      </c>
      <c r="M126" s="46">
        <v>41.118994372393125</v>
      </c>
      <c r="N126" s="47">
        <v>21612.143442129829</v>
      </c>
      <c r="O126" s="47">
        <v>19143.359170688713</v>
      </c>
      <c r="P126" s="48">
        <v>81.530755601707554</v>
      </c>
      <c r="Q126" s="49">
        <v>42852.565144257482</v>
      </c>
      <c r="R126" s="49">
        <v>38339.51301684256</v>
      </c>
      <c r="S126" s="50">
        <v>47.083190589887217</v>
      </c>
      <c r="T126" s="51">
        <v>24746.924974044723</v>
      </c>
      <c r="U126" s="51">
        <v>21976.436093765638</v>
      </c>
      <c r="V126" s="52">
        <v>52.851765057972329</v>
      </c>
      <c r="W126" s="53">
        <v>27778.887714470256</v>
      </c>
      <c r="X126" s="53">
        <v>24716.589939919486</v>
      </c>
    </row>
    <row r="127" spans="1:24" x14ac:dyDescent="0.3">
      <c r="A127" s="24" t="s">
        <v>136</v>
      </c>
      <c r="B127" s="25" t="s">
        <v>137</v>
      </c>
      <c r="C127" s="25">
        <v>16</v>
      </c>
      <c r="D127" s="25">
        <v>128</v>
      </c>
      <c r="E127" s="26">
        <v>200</v>
      </c>
      <c r="G127" s="54">
        <v>87.464490392321792</v>
      </c>
      <c r="H127" s="28">
        <v>45971.336150204334</v>
      </c>
      <c r="I127" s="28">
        <v>40241.904388099538</v>
      </c>
      <c r="M127" s="56">
        <v>144.68951994314921</v>
      </c>
      <c r="N127" s="30">
        <v>76048.811682119238</v>
      </c>
      <c r="O127" s="30">
        <v>67424.596695791843</v>
      </c>
      <c r="V127" s="58">
        <v>125.52587573511138</v>
      </c>
      <c r="W127" s="32">
        <v>65976.400286374541</v>
      </c>
      <c r="X127" s="59">
        <v>58321.596695791828</v>
      </c>
    </row>
    <row r="128" spans="1:24" x14ac:dyDescent="0.3">
      <c r="A128" s="24" t="s">
        <v>136</v>
      </c>
      <c r="B128" s="25" t="s">
        <v>138</v>
      </c>
      <c r="C128" s="25">
        <v>24</v>
      </c>
      <c r="D128" s="25">
        <v>192</v>
      </c>
      <c r="E128" s="26">
        <v>270</v>
      </c>
      <c r="G128" s="54">
        <v>131.07449792707033</v>
      </c>
      <c r="H128" s="28">
        <v>68892.756110468166</v>
      </c>
      <c r="I128" s="28">
        <v>60309.549647338623</v>
      </c>
      <c r="M128" s="56">
        <v>188.29952747789778</v>
      </c>
      <c r="N128" s="30">
        <v>98970.231642383063</v>
      </c>
      <c r="O128" s="30">
        <v>87492.241955030928</v>
      </c>
      <c r="V128" s="58">
        <v>188.16657594125471</v>
      </c>
      <c r="W128" s="32">
        <v>98900.352314723466</v>
      </c>
      <c r="X128" s="59">
        <v>87429.088108877084</v>
      </c>
    </row>
    <row r="129" spans="1:24" x14ac:dyDescent="0.3">
      <c r="A129" s="24" t="s">
        <v>136</v>
      </c>
      <c r="B129" s="25" t="s">
        <v>139</v>
      </c>
      <c r="C129" s="25">
        <v>32</v>
      </c>
      <c r="D129" s="25">
        <v>256</v>
      </c>
      <c r="E129" s="26">
        <v>340</v>
      </c>
      <c r="G129" s="54">
        <v>174.68450546181884</v>
      </c>
      <c r="H129" s="28">
        <v>91814.176070731992</v>
      </c>
      <c r="I129" s="28">
        <v>80377.194906577715</v>
      </c>
      <c r="M129" s="56">
        <v>231.90953501264624</v>
      </c>
      <c r="N129" s="30">
        <v>121891.65160264686</v>
      </c>
      <c r="O129" s="30">
        <v>107559.88721427</v>
      </c>
      <c r="V129" s="58">
        <v>262.5186709464524</v>
      </c>
      <c r="W129" s="32">
        <v>137979.81344945537</v>
      </c>
      <c r="X129" s="59">
        <v>122099.65644503923</v>
      </c>
    </row>
    <row r="130" spans="1:24" x14ac:dyDescent="0.3">
      <c r="A130" s="24" t="s">
        <v>136</v>
      </c>
      <c r="B130" s="25" t="s">
        <v>140</v>
      </c>
      <c r="C130" s="25">
        <v>36</v>
      </c>
      <c r="D130" s="25">
        <v>288</v>
      </c>
      <c r="E130" s="26">
        <v>370</v>
      </c>
      <c r="G130" s="54">
        <v>196.46913628562436</v>
      </c>
      <c r="H130" s="28">
        <v>103264.17803172416</v>
      </c>
      <c r="I130" s="28">
        <v>90402.133047062147</v>
      </c>
      <c r="M130" s="56">
        <v>253.69416583645179</v>
      </c>
      <c r="N130" s="30">
        <v>133341.65356363903</v>
      </c>
      <c r="O130" s="30">
        <v>117584.82535475447</v>
      </c>
      <c r="V130" s="58">
        <v>295.28257245583723</v>
      </c>
      <c r="W130" s="32">
        <v>155200.52008278805</v>
      </c>
      <c r="X130" s="59">
        <v>137339.90227783137</v>
      </c>
    </row>
    <row r="131" spans="1:24" x14ac:dyDescent="0.3">
      <c r="A131" s="24" t="s">
        <v>136</v>
      </c>
      <c r="B131" s="25" t="s">
        <v>141</v>
      </c>
      <c r="C131" s="25">
        <v>40</v>
      </c>
      <c r="D131" s="25">
        <v>320</v>
      </c>
      <c r="E131" s="26">
        <v>410</v>
      </c>
      <c r="G131" s="54">
        <v>218.29451299656739</v>
      </c>
      <c r="H131" s="28">
        <v>114735.59603099582</v>
      </c>
      <c r="I131" s="28">
        <v>100444.84016581681</v>
      </c>
      <c r="M131" s="56">
        <v>275.51954254739485</v>
      </c>
      <c r="N131" s="30">
        <v>144813.07156291074</v>
      </c>
      <c r="O131" s="30">
        <v>127627.53247350911</v>
      </c>
      <c r="V131" s="58">
        <v>328.0872198523594</v>
      </c>
      <c r="W131" s="32">
        <v>172442.64275440009</v>
      </c>
      <c r="X131" s="59">
        <v>152597.91708889377</v>
      </c>
    </row>
    <row r="132" spans="1:24" x14ac:dyDescent="0.3">
      <c r="A132" s="24" t="s">
        <v>136</v>
      </c>
      <c r="B132" s="25" t="s">
        <v>142</v>
      </c>
      <c r="C132" s="25">
        <v>48</v>
      </c>
      <c r="D132" s="25">
        <v>384</v>
      </c>
      <c r="E132" s="26">
        <v>480</v>
      </c>
      <c r="G132" s="54">
        <v>261.90452053131588</v>
      </c>
      <c r="H132" s="28">
        <v>137657.01599125963</v>
      </c>
      <c r="I132" s="28">
        <v>120512.4854250559</v>
      </c>
      <c r="M132" s="56">
        <v>319.12955008214328</v>
      </c>
      <c r="N132" s="30">
        <v>167734.49152317451</v>
      </c>
      <c r="O132" s="30">
        <v>147695.17773274818</v>
      </c>
      <c r="V132" s="58">
        <v>393.65576875826628</v>
      </c>
      <c r="W132" s="32">
        <v>206905.47205934473</v>
      </c>
      <c r="X132" s="59">
        <v>183096.17773274818</v>
      </c>
    </row>
    <row r="133" spans="1:24" x14ac:dyDescent="0.3">
      <c r="A133" s="24" t="s">
        <v>136</v>
      </c>
      <c r="B133" s="25" t="s">
        <v>143</v>
      </c>
      <c r="C133" s="25">
        <v>8</v>
      </c>
      <c r="D133" s="25">
        <v>96</v>
      </c>
      <c r="E133" s="26">
        <v>160</v>
      </c>
      <c r="G133" s="54">
        <v>46.786976929242051</v>
      </c>
      <c r="H133" s="28">
        <v>24591.235074009623</v>
      </c>
      <c r="I133" s="28">
        <v>21521.183084947716</v>
      </c>
      <c r="M133" s="56">
        <v>104.01200648006947</v>
      </c>
      <c r="N133" s="30">
        <v>54668.710605924512</v>
      </c>
      <c r="O133" s="30">
        <v>48703.875392640017</v>
      </c>
      <c r="V133" s="58">
        <v>76.064816172740876</v>
      </c>
      <c r="W133" s="32">
        <v>39979.667380392602</v>
      </c>
      <c r="X133" s="59">
        <v>35428.567700332329</v>
      </c>
    </row>
    <row r="134" spans="1:24" x14ac:dyDescent="0.3">
      <c r="A134" s="24" t="s">
        <v>136</v>
      </c>
      <c r="B134" s="25" t="s">
        <v>144</v>
      </c>
      <c r="C134" s="25">
        <v>12</v>
      </c>
      <c r="D134" s="25">
        <v>144</v>
      </c>
      <c r="E134" s="26">
        <v>210</v>
      </c>
      <c r="G134" s="54">
        <v>70.058227732450703</v>
      </c>
      <c r="H134" s="28">
        <v>36822.604496176085</v>
      </c>
      <c r="I134" s="28">
        <v>32228.467692610895</v>
      </c>
      <c r="M134" s="56">
        <v>127.28325728327813</v>
      </c>
      <c r="N134" s="30">
        <v>66900.080028090975</v>
      </c>
      <c r="O134" s="30">
        <v>59411.160000303193</v>
      </c>
      <c r="V134" s="58">
        <v>98.604266739542908</v>
      </c>
      <c r="W134" s="32">
        <v>51826.402598303743</v>
      </c>
      <c r="X134" s="59">
        <v>45788.236923380122</v>
      </c>
    </row>
    <row r="135" spans="1:24" x14ac:dyDescent="0.3">
      <c r="A135" s="24" t="s">
        <v>136</v>
      </c>
      <c r="B135" s="25" t="s">
        <v>145</v>
      </c>
      <c r="C135" s="25">
        <v>16</v>
      </c>
      <c r="D135" s="25">
        <v>192</v>
      </c>
      <c r="E135" s="26">
        <v>270</v>
      </c>
      <c r="G135" s="54">
        <v>93.370224422796824</v>
      </c>
      <c r="H135" s="28">
        <v>49075.389956622006</v>
      </c>
      <c r="I135" s="28">
        <v>42953.5212785443</v>
      </c>
      <c r="M135" s="56">
        <v>150.59525397362427</v>
      </c>
      <c r="N135" s="30">
        <v>79152.865488536918</v>
      </c>
      <c r="O135" s="30">
        <v>70136.213586236598</v>
      </c>
      <c r="V135" s="58">
        <v>131.43160976558642</v>
      </c>
      <c r="W135" s="32">
        <v>69080.454092792235</v>
      </c>
      <c r="X135" s="59">
        <v>61033.213586236605</v>
      </c>
    </row>
    <row r="136" spans="1:24" x14ac:dyDescent="0.3">
      <c r="A136" s="24" t="s">
        <v>136</v>
      </c>
      <c r="B136" s="25" t="s">
        <v>146</v>
      </c>
      <c r="C136" s="25">
        <v>24</v>
      </c>
      <c r="D136" s="25">
        <v>288</v>
      </c>
      <c r="E136" s="26">
        <v>370</v>
      </c>
      <c r="G136" s="54">
        <v>139.91272602921413</v>
      </c>
      <c r="H136" s="28">
        <v>73538.128800954932</v>
      </c>
      <c r="I136" s="28">
        <v>64368.090493870659</v>
      </c>
      <c r="M136" s="56">
        <v>197.13775558004153</v>
      </c>
      <c r="N136" s="30">
        <v>103615.60433286984</v>
      </c>
      <c r="O136" s="30">
        <v>91550.782801562964</v>
      </c>
      <c r="V136" s="58">
        <v>197.00480404339848</v>
      </c>
      <c r="W136" s="32">
        <v>103545.72500521022</v>
      </c>
      <c r="X136" s="59">
        <v>91487.62895540912</v>
      </c>
    </row>
    <row r="137" spans="1:24" x14ac:dyDescent="0.3">
      <c r="A137" s="24" t="s">
        <v>136</v>
      </c>
      <c r="B137" s="25" t="s">
        <v>147</v>
      </c>
      <c r="C137" s="25">
        <v>32</v>
      </c>
      <c r="D137" s="25">
        <v>384</v>
      </c>
      <c r="E137" s="26">
        <v>480</v>
      </c>
      <c r="G137" s="54">
        <v>186.49597352276885</v>
      </c>
      <c r="H137" s="28">
        <v>98022.283683567308</v>
      </c>
      <c r="I137" s="28">
        <v>85800.428687467269</v>
      </c>
      <c r="M137" s="56">
        <v>243.72100307359631</v>
      </c>
      <c r="N137" s="30">
        <v>128099.75921548223</v>
      </c>
      <c r="O137" s="30">
        <v>112983.12099515957</v>
      </c>
      <c r="V137" s="58">
        <v>274.33013900740247</v>
      </c>
      <c r="W137" s="32">
        <v>144187.92106229073</v>
      </c>
      <c r="X137" s="59">
        <v>127522.89022592879</v>
      </c>
    </row>
    <row r="138" spans="1:24" x14ac:dyDescent="0.3">
      <c r="A138" s="24" t="s">
        <v>136</v>
      </c>
      <c r="B138" s="25" t="s">
        <v>148</v>
      </c>
      <c r="C138" s="25">
        <v>40</v>
      </c>
      <c r="D138" s="25">
        <v>480</v>
      </c>
      <c r="E138" s="26">
        <v>580</v>
      </c>
      <c r="G138" s="54">
        <v>233.03847512918625</v>
      </c>
      <c r="H138" s="28">
        <v>122485.02252790029</v>
      </c>
      <c r="I138" s="28">
        <v>107214.99790279362</v>
      </c>
      <c r="M138" s="56">
        <v>290.26350468001374</v>
      </c>
      <c r="N138" s="30">
        <v>152562.4980598152</v>
      </c>
      <c r="O138" s="30">
        <v>134397.69021048595</v>
      </c>
      <c r="V138" s="58">
        <v>342.83118198497829</v>
      </c>
      <c r="W138" s="32">
        <v>180192.06925130461</v>
      </c>
      <c r="X138" s="59">
        <v>159368.07482587054</v>
      </c>
    </row>
    <row r="139" spans="1:24" x14ac:dyDescent="0.3">
      <c r="A139" s="24" t="s">
        <v>136</v>
      </c>
      <c r="B139" s="25" t="s">
        <v>149</v>
      </c>
      <c r="C139" s="25">
        <v>48</v>
      </c>
      <c r="D139" s="25">
        <v>576</v>
      </c>
      <c r="E139" s="26">
        <v>690</v>
      </c>
      <c r="G139" s="54">
        <v>279.62172262274095</v>
      </c>
      <c r="H139" s="28">
        <v>146969.17741051264</v>
      </c>
      <c r="I139" s="28">
        <v>128647.33609639018</v>
      </c>
      <c r="M139" s="56">
        <v>336.84675217356835</v>
      </c>
      <c r="N139" s="30">
        <v>177046.65294242752</v>
      </c>
      <c r="O139" s="30">
        <v>155830.02840408246</v>
      </c>
      <c r="V139" s="58">
        <v>411.37297084969128</v>
      </c>
      <c r="W139" s="32">
        <v>216217.63347859774</v>
      </c>
      <c r="X139" s="59">
        <v>191231.02840408246</v>
      </c>
    </row>
    <row r="140" spans="1:24" x14ac:dyDescent="0.3">
      <c r="A140" s="24" t="s">
        <v>136</v>
      </c>
      <c r="B140" s="25" t="s">
        <v>150</v>
      </c>
      <c r="C140" s="25">
        <v>64</v>
      </c>
      <c r="D140" s="25">
        <v>768</v>
      </c>
      <c r="E140" s="26">
        <v>900</v>
      </c>
      <c r="G140" s="54">
        <v>372.74747172271304</v>
      </c>
      <c r="H140" s="28">
        <v>195916.07113745797</v>
      </c>
      <c r="I140" s="28">
        <v>171494.24350531318</v>
      </c>
      <c r="M140" s="56">
        <v>429.9725012735405</v>
      </c>
      <c r="N140" s="30">
        <v>225993.54666937285</v>
      </c>
      <c r="O140" s="30">
        <v>198676.93581300549</v>
      </c>
      <c r="V140" s="58">
        <v>548.41580269198028</v>
      </c>
      <c r="W140" s="32">
        <v>288247.34589490481</v>
      </c>
      <c r="X140" s="59">
        <v>254939.16658223627</v>
      </c>
    </row>
    <row r="141" spans="1:24" x14ac:dyDescent="0.3">
      <c r="A141" s="24" t="s">
        <v>136</v>
      </c>
      <c r="B141" s="25" t="s">
        <v>151</v>
      </c>
      <c r="C141" s="25">
        <v>8</v>
      </c>
      <c r="D141" s="25">
        <v>128</v>
      </c>
      <c r="E141" s="26">
        <v>200</v>
      </c>
      <c r="G141" s="54">
        <v>49.760216888048291</v>
      </c>
      <c r="H141" s="28">
        <v>26153.969996358181</v>
      </c>
      <c r="I141" s="28">
        <v>22885.876019305211</v>
      </c>
      <c r="M141" s="56">
        <v>106.98524643887571</v>
      </c>
      <c r="N141" s="30">
        <v>56231.445528273078</v>
      </c>
      <c r="O141" s="30">
        <v>50068.56832699752</v>
      </c>
      <c r="V141" s="58">
        <v>79.038056131547123</v>
      </c>
      <c r="W141" s="32">
        <v>41542.40230274116</v>
      </c>
      <c r="X141" s="59">
        <v>36793.260634689825</v>
      </c>
    </row>
    <row r="142" spans="1:24" x14ac:dyDescent="0.3">
      <c r="A142" s="24" t="s">
        <v>136</v>
      </c>
      <c r="B142" s="25" t="s">
        <v>152</v>
      </c>
      <c r="C142" s="25">
        <v>12</v>
      </c>
      <c r="D142" s="25">
        <v>192</v>
      </c>
      <c r="E142" s="26">
        <v>270</v>
      </c>
      <c r="G142" s="54">
        <v>74.518087670660051</v>
      </c>
      <c r="H142" s="28">
        <v>39166.706879698919</v>
      </c>
      <c r="I142" s="28">
        <v>34275.507094147135</v>
      </c>
      <c r="M142" s="56">
        <v>131.74311722148749</v>
      </c>
      <c r="N142" s="30">
        <v>69244.182411613816</v>
      </c>
      <c r="O142" s="30">
        <v>61458.199401839433</v>
      </c>
      <c r="V142" s="58">
        <v>103.06412667775224</v>
      </c>
      <c r="W142" s="32">
        <v>54170.504981826576</v>
      </c>
      <c r="X142" s="59">
        <v>47835.276324916362</v>
      </c>
    </row>
    <row r="143" spans="1:24" x14ac:dyDescent="0.3">
      <c r="A143" s="24" t="s">
        <v>136</v>
      </c>
      <c r="B143" s="25" t="s">
        <v>153</v>
      </c>
      <c r="C143" s="25">
        <v>16</v>
      </c>
      <c r="D143" s="25">
        <v>256</v>
      </c>
      <c r="E143" s="26">
        <v>340</v>
      </c>
      <c r="G143" s="54">
        <v>99.275958453271841</v>
      </c>
      <c r="H143" s="28">
        <v>52179.443763039671</v>
      </c>
      <c r="I143" s="28">
        <v>45665.138168989062</v>
      </c>
      <c r="M143" s="56">
        <v>156.50098800409927</v>
      </c>
      <c r="N143" s="30">
        <v>82256.919294954554</v>
      </c>
      <c r="O143" s="30">
        <v>72847.830476681367</v>
      </c>
      <c r="V143" s="58">
        <v>137.33734379606145</v>
      </c>
      <c r="W143" s="32">
        <v>72184.507899209901</v>
      </c>
      <c r="X143" s="59">
        <v>63744.830476681374</v>
      </c>
    </row>
    <row r="144" spans="1:24" x14ac:dyDescent="0.3">
      <c r="A144" s="24" t="s">
        <v>136</v>
      </c>
      <c r="B144" s="25" t="s">
        <v>154</v>
      </c>
      <c r="C144" s="25">
        <v>24</v>
      </c>
      <c r="D144" s="25">
        <v>384</v>
      </c>
      <c r="E144" s="26">
        <v>480</v>
      </c>
      <c r="G144" s="54">
        <v>148.79170001849536</v>
      </c>
      <c r="H144" s="28">
        <v>78204.917529721162</v>
      </c>
      <c r="I144" s="28">
        <v>68444.400318672924</v>
      </c>
      <c r="M144" s="56">
        <v>206.01672956932276</v>
      </c>
      <c r="N144" s="30">
        <v>108282.39306163604</v>
      </c>
      <c r="O144" s="30">
        <v>95627.092626365236</v>
      </c>
      <c r="V144" s="58">
        <v>205.88377803267974</v>
      </c>
      <c r="W144" s="32">
        <v>108212.51373397648</v>
      </c>
      <c r="X144" s="59">
        <v>95563.938780211392</v>
      </c>
    </row>
    <row r="145" spans="1:24" x14ac:dyDescent="0.3">
      <c r="A145" s="24" t="s">
        <v>136</v>
      </c>
      <c r="B145" s="25" t="s">
        <v>155</v>
      </c>
      <c r="C145" s="25">
        <v>32</v>
      </c>
      <c r="D145" s="25">
        <v>512</v>
      </c>
      <c r="E145" s="26">
        <v>620</v>
      </c>
      <c r="G145" s="54">
        <v>198.30744158371894</v>
      </c>
      <c r="H145" s="28">
        <v>104230.39129640268</v>
      </c>
      <c r="I145" s="28">
        <v>91223.662468356779</v>
      </c>
      <c r="M145" s="56">
        <v>255.53247113454631</v>
      </c>
      <c r="N145" s="30">
        <v>134307.86682831755</v>
      </c>
      <c r="O145" s="30">
        <v>118406.35477604909</v>
      </c>
      <c r="V145" s="58">
        <v>286.14160706835247</v>
      </c>
      <c r="W145" s="32">
        <v>150396.02867512603</v>
      </c>
      <c r="X145" s="59">
        <v>132946.12400681831</v>
      </c>
    </row>
    <row r="146" spans="1:24" x14ac:dyDescent="0.3">
      <c r="A146" s="24" t="s">
        <v>136</v>
      </c>
      <c r="B146" s="25" t="s">
        <v>156</v>
      </c>
      <c r="C146" s="25">
        <v>48</v>
      </c>
      <c r="D146" s="25">
        <v>768</v>
      </c>
      <c r="E146" s="26">
        <v>900</v>
      </c>
      <c r="G146" s="54">
        <v>297.33892471416601</v>
      </c>
      <c r="H146" s="28">
        <v>156281.33882976565</v>
      </c>
      <c r="I146" s="28">
        <v>136782.18676772449</v>
      </c>
      <c r="M146" s="56">
        <v>354.56395426499336</v>
      </c>
      <c r="N146" s="30">
        <v>186358.8143616805</v>
      </c>
      <c r="O146" s="30">
        <v>163964.8790754168</v>
      </c>
      <c r="V146" s="58">
        <v>429.09017294111641</v>
      </c>
      <c r="W146" s="32">
        <v>225529.79489785075</v>
      </c>
      <c r="X146" s="59">
        <v>199365.87907541677</v>
      </c>
    </row>
    <row r="147" spans="1:24" x14ac:dyDescent="0.3">
      <c r="A147" s="24" t="s">
        <v>136</v>
      </c>
      <c r="B147" s="25" t="s">
        <v>157</v>
      </c>
      <c r="C147" s="25">
        <v>64</v>
      </c>
      <c r="D147" s="25">
        <v>1024</v>
      </c>
      <c r="E147" s="26">
        <v>1180</v>
      </c>
      <c r="G147" s="54">
        <v>396.37040784461317</v>
      </c>
      <c r="H147" s="28">
        <v>208332.28636312869</v>
      </c>
      <c r="I147" s="28">
        <v>182340.7110670922</v>
      </c>
      <c r="M147" s="56">
        <v>453.59543739544063</v>
      </c>
      <c r="N147" s="30">
        <v>238409.76189504357</v>
      </c>
      <c r="O147" s="30">
        <v>209523.40337478454</v>
      </c>
      <c r="V147" s="58">
        <v>572.03873881388029</v>
      </c>
      <c r="W147" s="32">
        <v>300663.56112057547</v>
      </c>
      <c r="X147" s="59">
        <v>265785.63414401526</v>
      </c>
    </row>
    <row r="148" spans="1:24" x14ac:dyDescent="0.3">
      <c r="A148" s="24" t="s">
        <v>136</v>
      </c>
      <c r="B148" s="25" t="s">
        <v>158</v>
      </c>
      <c r="C148" s="25">
        <v>4</v>
      </c>
      <c r="D148" s="25">
        <v>96</v>
      </c>
      <c r="E148" s="26">
        <v>160</v>
      </c>
      <c r="G148" s="54">
        <v>27.934840177105297</v>
      </c>
      <c r="H148" s="28">
        <v>14682.551997086541</v>
      </c>
      <c r="I148" s="28">
        <v>12843.16890055055</v>
      </c>
      <c r="M148" s="56">
        <v>75.139922919422091</v>
      </c>
      <c r="N148" s="30">
        <v>39493.543486448252</v>
      </c>
      <c r="O148" s="30">
        <v>35266.245823627476</v>
      </c>
      <c r="V148" s="58">
        <v>42.573759798854709</v>
      </c>
      <c r="W148" s="32">
        <v>22376.768150278036</v>
      </c>
      <c r="X148" s="59">
        <v>19796.861208242859</v>
      </c>
    </row>
    <row r="149" spans="1:24" x14ac:dyDescent="0.3">
      <c r="A149" s="24" t="s">
        <v>136</v>
      </c>
      <c r="B149" s="25" t="s">
        <v>159</v>
      </c>
      <c r="C149" s="25">
        <v>6</v>
      </c>
      <c r="D149" s="25">
        <v>144</v>
      </c>
      <c r="E149" s="26">
        <v>210</v>
      </c>
      <c r="G149" s="54">
        <v>41.780022604245566</v>
      </c>
      <c r="H149" s="28">
        <v>21959.579880791473</v>
      </c>
      <c r="I149" s="28">
        <v>19211.446416015147</v>
      </c>
      <c r="M149" s="56">
        <v>99.005052155073017</v>
      </c>
      <c r="N149" s="30">
        <v>52037.055412706381</v>
      </c>
      <c r="O149" s="30">
        <v>46394.138723707452</v>
      </c>
      <c r="V149" s="58">
        <v>63.738402036869687</v>
      </c>
      <c r="W149" s="32">
        <v>33500.904110578711</v>
      </c>
      <c r="X149" s="59">
        <v>29641.984877553616</v>
      </c>
    </row>
    <row r="150" spans="1:24" x14ac:dyDescent="0.3">
      <c r="A150" s="24" t="s">
        <v>136</v>
      </c>
      <c r="B150" s="25" t="s">
        <v>160</v>
      </c>
      <c r="C150" s="25">
        <v>8</v>
      </c>
      <c r="D150" s="25">
        <v>192</v>
      </c>
      <c r="E150" s="26">
        <v>270</v>
      </c>
      <c r="G150" s="54">
        <v>55.665950918523301</v>
      </c>
      <c r="H150" s="28">
        <v>29258.023802775846</v>
      </c>
      <c r="I150" s="28">
        <v>25597.492909749973</v>
      </c>
      <c r="M150" s="56">
        <v>112.89098046935075</v>
      </c>
      <c r="N150" s="30">
        <v>59335.49933469075</v>
      </c>
      <c r="O150" s="30">
        <v>52780.185217442275</v>
      </c>
      <c r="V150" s="58">
        <v>84.94379016202214</v>
      </c>
      <c r="W150" s="32">
        <v>44646.456109158833</v>
      </c>
      <c r="X150" s="59">
        <v>39504.877525134594</v>
      </c>
    </row>
    <row r="151" spans="1:24" x14ac:dyDescent="0.3">
      <c r="A151" s="24" t="s">
        <v>136</v>
      </c>
      <c r="B151" s="25" t="s">
        <v>161</v>
      </c>
      <c r="C151" s="25">
        <v>16</v>
      </c>
      <c r="D151" s="25">
        <v>384</v>
      </c>
      <c r="E151" s="26">
        <v>480</v>
      </c>
      <c r="G151" s="54">
        <v>111.08742651422187</v>
      </c>
      <c r="H151" s="28">
        <v>58387.551375875024</v>
      </c>
      <c r="I151" s="28">
        <v>51088.371949878601</v>
      </c>
      <c r="M151" s="56">
        <v>168.3124560650493</v>
      </c>
      <c r="N151" s="30">
        <v>88465.026907789914</v>
      </c>
      <c r="O151" s="30">
        <v>78271.064257570921</v>
      </c>
      <c r="V151" s="58">
        <v>149.14881185701148</v>
      </c>
      <c r="W151" s="32">
        <v>78392.615512045246</v>
      </c>
      <c r="X151" s="59">
        <v>69168.064257570921</v>
      </c>
    </row>
    <row r="152" spans="1:24" x14ac:dyDescent="0.3">
      <c r="A152" s="24" t="s">
        <v>136</v>
      </c>
      <c r="B152" s="25" t="s">
        <v>162</v>
      </c>
      <c r="C152" s="25">
        <v>32</v>
      </c>
      <c r="D152" s="25">
        <v>768</v>
      </c>
      <c r="E152" s="26">
        <v>900</v>
      </c>
      <c r="G152" s="54">
        <v>221.93037770561901</v>
      </c>
      <c r="H152" s="28">
        <v>116646.60652207334</v>
      </c>
      <c r="I152" s="28">
        <v>102070.13003013584</v>
      </c>
      <c r="M152" s="56">
        <v>279.15540725644644</v>
      </c>
      <c r="N152" s="30">
        <v>146724.08205398824</v>
      </c>
      <c r="O152" s="30">
        <v>129252.82233782817</v>
      </c>
      <c r="V152" s="58">
        <v>309.76454319025254</v>
      </c>
      <c r="W152" s="32">
        <v>162812.24390079672</v>
      </c>
      <c r="X152" s="59">
        <v>143792.59156859736</v>
      </c>
    </row>
    <row r="153" spans="1:24" x14ac:dyDescent="0.3">
      <c r="A153" s="24" t="s">
        <v>136</v>
      </c>
      <c r="B153" s="25" t="s">
        <v>163</v>
      </c>
      <c r="C153" s="25">
        <v>64</v>
      </c>
      <c r="D153" s="25">
        <v>1536</v>
      </c>
      <c r="E153" s="26">
        <v>1740</v>
      </c>
      <c r="G153" s="54">
        <v>443.61628008841325</v>
      </c>
      <c r="H153" s="28">
        <v>233164.71681447001</v>
      </c>
      <c r="I153" s="28">
        <v>204033.64619065035</v>
      </c>
      <c r="M153" s="56">
        <v>500.84130963924071</v>
      </c>
      <c r="N153" s="30">
        <v>263242.19234638487</v>
      </c>
      <c r="O153" s="30">
        <v>231216.33849834267</v>
      </c>
      <c r="V153" s="58">
        <v>619.28461105768031</v>
      </c>
      <c r="W153" s="32">
        <v>325495.99157191673</v>
      </c>
      <c r="X153" s="59">
        <v>287478.56926757336</v>
      </c>
    </row>
    <row r="154" spans="1:24" x14ac:dyDescent="0.3">
      <c r="A154" s="24" t="s">
        <v>136</v>
      </c>
      <c r="B154" s="25" t="s">
        <v>164</v>
      </c>
      <c r="C154" s="25">
        <v>32</v>
      </c>
      <c r="D154" s="25">
        <v>1024</v>
      </c>
      <c r="E154" s="26">
        <v>1180</v>
      </c>
      <c r="G154" s="54">
        <v>245.55331382751913</v>
      </c>
      <c r="H154" s="28">
        <v>129062.82174774405</v>
      </c>
      <c r="I154" s="28">
        <v>112916.59759191489</v>
      </c>
      <c r="M154" s="56">
        <v>302.77834337834656</v>
      </c>
      <c r="N154" s="30">
        <v>159140.29727965893</v>
      </c>
      <c r="O154" s="30">
        <v>140099.28989960719</v>
      </c>
      <c r="V154" s="58">
        <v>333.38747931215266</v>
      </c>
      <c r="W154" s="32">
        <v>175228.45912646744</v>
      </c>
      <c r="X154" s="59">
        <v>154639.05913037647</v>
      </c>
    </row>
    <row r="155" spans="1:24" x14ac:dyDescent="0.3">
      <c r="A155" s="24" t="s">
        <v>136</v>
      </c>
      <c r="B155" s="25" t="s">
        <v>165</v>
      </c>
      <c r="C155" s="25">
        <v>64</v>
      </c>
      <c r="D155" s="25">
        <v>2048</v>
      </c>
      <c r="E155" s="26">
        <v>2310</v>
      </c>
      <c r="G155" s="54">
        <v>490.90289821935102</v>
      </c>
      <c r="H155" s="28">
        <v>258018.56330409087</v>
      </c>
      <c r="I155" s="28">
        <v>225744.35029247866</v>
      </c>
      <c r="M155" s="56">
        <v>548.12792777017842</v>
      </c>
      <c r="N155" s="30">
        <v>288096.03883600578</v>
      </c>
      <c r="O155" s="30">
        <v>252927.04260017097</v>
      </c>
      <c r="V155" s="58">
        <v>666.57122918861819</v>
      </c>
      <c r="W155" s="32">
        <v>350349.83806153771</v>
      </c>
      <c r="X155" s="59">
        <v>309189.27336940169</v>
      </c>
    </row>
    <row r="156" spans="1:24" x14ac:dyDescent="0.3">
      <c r="A156" s="24" t="s">
        <v>136</v>
      </c>
      <c r="B156" s="25" t="s">
        <v>166</v>
      </c>
      <c r="C156" s="25">
        <v>4</v>
      </c>
      <c r="D156" s="25">
        <v>144</v>
      </c>
      <c r="E156" s="26">
        <v>210</v>
      </c>
      <c r="G156" s="54">
        <v>32.353954228177194</v>
      </c>
      <c r="H156" s="28">
        <v>17005.238342329932</v>
      </c>
      <c r="I156" s="28">
        <v>14872.439323816567</v>
      </c>
      <c r="M156" s="56">
        <v>79.559036970494006</v>
      </c>
      <c r="N156" s="30">
        <v>41816.229831691642</v>
      </c>
      <c r="O156" s="30">
        <v>37295.516246893494</v>
      </c>
      <c r="V156" s="58">
        <v>46.99287384992661</v>
      </c>
      <c r="W156" s="32">
        <v>24699.454495521426</v>
      </c>
      <c r="X156" s="59">
        <v>21826.131631508873</v>
      </c>
    </row>
    <row r="157" spans="1:24" x14ac:dyDescent="0.3">
      <c r="A157" s="24" t="s">
        <v>136</v>
      </c>
      <c r="B157" s="25" t="s">
        <v>167</v>
      </c>
      <c r="C157" s="25">
        <v>8</v>
      </c>
      <c r="D157" s="25">
        <v>288</v>
      </c>
      <c r="E157" s="26">
        <v>370</v>
      </c>
      <c r="G157" s="54">
        <v>64.50417902066711</v>
      </c>
      <c r="H157" s="28">
        <v>33903.396493262633</v>
      </c>
      <c r="I157" s="28">
        <v>29656.03375628201</v>
      </c>
      <c r="M157" s="56">
        <v>121.72920857149452</v>
      </c>
      <c r="N157" s="30">
        <v>63980.872025177516</v>
      </c>
      <c r="O157" s="30">
        <v>56838.726063974325</v>
      </c>
      <c r="V157" s="58">
        <v>93.782018264165941</v>
      </c>
      <c r="W157" s="32">
        <v>49291.828799645613</v>
      </c>
      <c r="X157" s="59">
        <v>43563.41837166663</v>
      </c>
    </row>
    <row r="158" spans="1:24" x14ac:dyDescent="0.3">
      <c r="A158" s="24" t="s">
        <v>136</v>
      </c>
      <c r="B158" s="25" t="s">
        <v>168</v>
      </c>
      <c r="C158" s="25">
        <v>16</v>
      </c>
      <c r="D158" s="25">
        <v>576</v>
      </c>
      <c r="E158" s="26">
        <v>690</v>
      </c>
      <c r="G158" s="54">
        <v>128.80462860564691</v>
      </c>
      <c r="H158" s="28">
        <v>67699.712795128013</v>
      </c>
      <c r="I158" s="28">
        <v>59223.222621212903</v>
      </c>
      <c r="M158" s="56">
        <v>186.02965815647434</v>
      </c>
      <c r="N158" s="30">
        <v>97777.18832704291</v>
      </c>
      <c r="O158" s="30">
        <v>86405.9149289052</v>
      </c>
      <c r="V158" s="58">
        <v>166.86601394843652</v>
      </c>
      <c r="W158" s="32">
        <v>87704.776931298227</v>
      </c>
      <c r="X158" s="59">
        <v>77302.9149289052</v>
      </c>
    </row>
    <row r="159" spans="1:24" x14ac:dyDescent="0.3">
      <c r="A159" s="24" t="s">
        <v>136</v>
      </c>
      <c r="B159" s="25" t="s">
        <v>169</v>
      </c>
      <c r="C159" s="25">
        <v>24</v>
      </c>
      <c r="D159" s="25">
        <v>864</v>
      </c>
      <c r="E159" s="26">
        <v>1010</v>
      </c>
      <c r="G159" s="54">
        <v>193.10507819062673</v>
      </c>
      <c r="H159" s="28">
        <v>101496.02909699341</v>
      </c>
      <c r="I159" s="28">
        <v>88790.41148614377</v>
      </c>
      <c r="M159" s="56">
        <v>250.33010774145416</v>
      </c>
      <c r="N159" s="30">
        <v>131573.5046289083</v>
      </c>
      <c r="O159" s="30">
        <v>115973.10379383608</v>
      </c>
      <c r="V159" s="58">
        <v>250.19715620481117</v>
      </c>
      <c r="W159" s="32">
        <v>131503.62530124874</v>
      </c>
      <c r="X159" s="59">
        <v>115909.94994768222</v>
      </c>
    </row>
    <row r="160" spans="1:24" x14ac:dyDescent="0.3">
      <c r="A160" s="24" t="s">
        <v>136</v>
      </c>
      <c r="B160" s="25" t="s">
        <v>170</v>
      </c>
      <c r="C160" s="25">
        <v>32</v>
      </c>
      <c r="D160" s="25">
        <v>1152</v>
      </c>
      <c r="E160" s="26">
        <v>1320</v>
      </c>
      <c r="G160" s="54">
        <v>257.36478188846911</v>
      </c>
      <c r="H160" s="28">
        <v>135270.92936057935</v>
      </c>
      <c r="I160" s="28">
        <v>118339.83137280444</v>
      </c>
      <c r="M160" s="56">
        <v>314.58981143929651</v>
      </c>
      <c r="N160" s="30">
        <v>165348.4048924942</v>
      </c>
      <c r="O160" s="30">
        <v>145522.52368049676</v>
      </c>
      <c r="V160" s="58">
        <v>345.19894737310267</v>
      </c>
      <c r="W160" s="32">
        <v>181436.56673930277</v>
      </c>
      <c r="X160" s="59">
        <v>160062.29291126598</v>
      </c>
    </row>
    <row r="161" spans="1:24" x14ac:dyDescent="0.3">
      <c r="A161" s="24" t="s">
        <v>136</v>
      </c>
      <c r="B161" s="25" t="s">
        <v>171</v>
      </c>
      <c r="C161" s="25">
        <v>40</v>
      </c>
      <c r="D161" s="25">
        <v>1440</v>
      </c>
      <c r="E161" s="26">
        <v>1640</v>
      </c>
      <c r="G161" s="54">
        <v>321.6652314734489</v>
      </c>
      <c r="H161" s="28">
        <v>169067.24566244477</v>
      </c>
      <c r="I161" s="28">
        <v>147907.02023773533</v>
      </c>
      <c r="M161" s="56">
        <v>378.89026102427636</v>
      </c>
      <c r="N161" s="30">
        <v>199144.72119435965</v>
      </c>
      <c r="O161" s="30">
        <v>175089.71254542767</v>
      </c>
      <c r="V161" s="58">
        <v>431.4579383292409</v>
      </c>
      <c r="W161" s="32">
        <v>226774.292385849</v>
      </c>
      <c r="X161" s="59">
        <v>200060.09716081226</v>
      </c>
    </row>
    <row r="162" spans="1:24" x14ac:dyDescent="0.3">
      <c r="A162" s="24" t="s">
        <v>136</v>
      </c>
      <c r="B162" s="25" t="s">
        <v>172</v>
      </c>
      <c r="C162" s="25">
        <v>64</v>
      </c>
      <c r="D162" s="25">
        <v>2304</v>
      </c>
      <c r="E162" s="26">
        <v>2590</v>
      </c>
      <c r="G162" s="54">
        <v>514.52583434125086</v>
      </c>
      <c r="H162" s="28">
        <v>270434.77852976148</v>
      </c>
      <c r="I162" s="28">
        <v>236590.81785425774</v>
      </c>
      <c r="M162" s="56">
        <v>571.75086389207831</v>
      </c>
      <c r="N162" s="30">
        <v>300512.25406167639</v>
      </c>
      <c r="O162" s="30">
        <v>263773.51016195002</v>
      </c>
      <c r="V162" s="58">
        <v>690.19416531051797</v>
      </c>
      <c r="W162" s="32">
        <v>362766.05328720825</v>
      </c>
      <c r="X162" s="59">
        <v>320035.74093118077</v>
      </c>
    </row>
    <row r="163" spans="1:24" x14ac:dyDescent="0.3">
      <c r="A163" s="24" t="s">
        <v>136</v>
      </c>
      <c r="B163" s="25" t="s">
        <v>173</v>
      </c>
      <c r="C163" s="25">
        <v>64</v>
      </c>
      <c r="D163" s="25">
        <v>2816</v>
      </c>
      <c r="E163" s="26">
        <v>3150</v>
      </c>
      <c r="G163" s="54">
        <v>561.77170658505111</v>
      </c>
      <c r="H163" s="28">
        <v>295267.20898110286</v>
      </c>
      <c r="I163" s="28">
        <v>258283.75297781592</v>
      </c>
      <c r="M163" s="56">
        <v>618.99673613587856</v>
      </c>
      <c r="N163" s="30">
        <v>325344.68451301777</v>
      </c>
      <c r="O163" s="30">
        <v>285466.44528550823</v>
      </c>
      <c r="V163" s="58">
        <v>737.44003755431834</v>
      </c>
      <c r="W163" s="32">
        <v>387598.48373854964</v>
      </c>
      <c r="X163" s="59">
        <v>341728.67605473899</v>
      </c>
    </row>
    <row r="164" spans="1:24" ht="15" thickBot="1" x14ac:dyDescent="0.35">
      <c r="A164" s="39" t="s">
        <v>136</v>
      </c>
      <c r="B164" s="40" t="s">
        <v>174</v>
      </c>
      <c r="C164" s="40">
        <v>64</v>
      </c>
      <c r="D164" s="40">
        <v>3072</v>
      </c>
      <c r="E164" s="41">
        <v>3430</v>
      </c>
      <c r="G164" s="55">
        <v>585.39464270695123</v>
      </c>
      <c r="H164" s="43">
        <v>307683.42420677352</v>
      </c>
      <c r="I164" s="43">
        <v>269130.220539595</v>
      </c>
      <c r="M164" s="57">
        <v>642.61967225777869</v>
      </c>
      <c r="N164" s="45">
        <v>337760.89973868843</v>
      </c>
      <c r="O164" s="45">
        <v>296312.91284728731</v>
      </c>
      <c r="V164" s="60">
        <v>761.06297367621835</v>
      </c>
      <c r="W164" s="47">
        <v>400014.69896422036</v>
      </c>
      <c r="X164" s="61">
        <v>352575.14361651806</v>
      </c>
    </row>
    <row r="165" spans="1:24" x14ac:dyDescent="0.3">
      <c r="A165" s="62" t="s">
        <v>175</v>
      </c>
      <c r="B165" s="63" t="s">
        <v>47</v>
      </c>
      <c r="C165" s="63">
        <v>4</v>
      </c>
      <c r="D165" s="63">
        <v>16</v>
      </c>
      <c r="E165" s="26">
        <v>100</v>
      </c>
      <c r="G165" s="54">
        <v>13.374833724761272</v>
      </c>
      <c r="H165" s="28">
        <v>7029.8126057345244</v>
      </c>
      <c r="I165" s="64">
        <v>6149.7923049290739</v>
      </c>
    </row>
    <row r="166" spans="1:24" x14ac:dyDescent="0.3">
      <c r="A166" s="62" t="s">
        <v>175</v>
      </c>
      <c r="B166" s="63" t="s">
        <v>49</v>
      </c>
      <c r="C166" s="63">
        <v>8</v>
      </c>
      <c r="D166" s="63">
        <v>32</v>
      </c>
      <c r="E166" s="26">
        <v>100</v>
      </c>
      <c r="G166" s="54">
        <v>26.545938013835265</v>
      </c>
      <c r="H166" s="28">
        <v>13952.545020071817</v>
      </c>
      <c r="I166" s="64">
        <v>12210.739718507022</v>
      </c>
    </row>
    <row r="167" spans="1:24" x14ac:dyDescent="0.3">
      <c r="A167" s="62" t="s">
        <v>175</v>
      </c>
      <c r="B167" s="63" t="s">
        <v>51</v>
      </c>
      <c r="C167" s="63">
        <v>16</v>
      </c>
      <c r="D167" s="63">
        <v>64</v>
      </c>
      <c r="E167" s="26">
        <v>150</v>
      </c>
      <c r="G167" s="54">
        <v>52.888146591983237</v>
      </c>
      <c r="H167" s="28">
        <v>27798.009848746387</v>
      </c>
      <c r="I167" s="64">
        <v>24332.634545662917</v>
      </c>
    </row>
    <row r="168" spans="1:24" x14ac:dyDescent="0.3">
      <c r="A168" s="62" t="s">
        <v>175</v>
      </c>
      <c r="B168" s="63" t="s">
        <v>53</v>
      </c>
      <c r="C168" s="63">
        <v>32</v>
      </c>
      <c r="D168" s="63">
        <v>128</v>
      </c>
      <c r="E168" s="26">
        <v>200</v>
      </c>
      <c r="G168" s="54">
        <v>105.53181786114173</v>
      </c>
      <c r="H168" s="28">
        <v>55467.523467816092</v>
      </c>
      <c r="I168" s="64">
        <v>48558.655221704495</v>
      </c>
    </row>
    <row r="169" spans="1:24" x14ac:dyDescent="0.3">
      <c r="A169" s="62" t="s">
        <v>175</v>
      </c>
      <c r="B169" s="63" t="s">
        <v>65</v>
      </c>
      <c r="C169" s="63">
        <v>24</v>
      </c>
      <c r="D169" s="63">
        <v>120</v>
      </c>
      <c r="E169" s="26">
        <v>190</v>
      </c>
      <c r="G169" s="54">
        <v>82.583782068304274</v>
      </c>
      <c r="H169" s="28">
        <v>43406.035855100723</v>
      </c>
      <c r="I169" s="64">
        <v>37996.20426168324</v>
      </c>
    </row>
    <row r="170" spans="1:24" x14ac:dyDescent="0.3">
      <c r="A170" s="62" t="s">
        <v>175</v>
      </c>
      <c r="B170" s="63" t="s">
        <v>70</v>
      </c>
      <c r="C170" s="63">
        <v>4</v>
      </c>
      <c r="D170" s="63">
        <v>24</v>
      </c>
      <c r="E170" s="26">
        <v>80</v>
      </c>
      <c r="G170" s="54">
        <v>14.506224653198105</v>
      </c>
      <c r="H170" s="28">
        <v>7624.4716777209233</v>
      </c>
      <c r="I170" s="64">
        <v>6669.6069273072899</v>
      </c>
    </row>
    <row r="171" spans="1:24" x14ac:dyDescent="0.3">
      <c r="A171" s="62" t="s">
        <v>175</v>
      </c>
      <c r="B171" s="63" t="s">
        <v>71</v>
      </c>
      <c r="C171" s="63">
        <v>6</v>
      </c>
      <c r="D171" s="63">
        <v>36</v>
      </c>
      <c r="E171" s="26">
        <v>90</v>
      </c>
      <c r="G171" s="54">
        <v>21.637099318384792</v>
      </c>
      <c r="H171" s="28">
        <v>11372.459401743046</v>
      </c>
      <c r="I171" s="64">
        <v>9951.1034561502602</v>
      </c>
    </row>
    <row r="172" spans="1:24" x14ac:dyDescent="0.3">
      <c r="A172" s="62" t="s">
        <v>175</v>
      </c>
      <c r="B172" s="63" t="s">
        <v>72</v>
      </c>
      <c r="C172" s="63">
        <v>8</v>
      </c>
      <c r="D172" s="63">
        <v>48</v>
      </c>
      <c r="E172" s="26">
        <v>110</v>
      </c>
      <c r="G172" s="54">
        <v>28.808719870708931</v>
      </c>
      <c r="H172" s="28">
        <v>15141.863164044615</v>
      </c>
      <c r="I172" s="64">
        <v>13250.368963263454</v>
      </c>
    </row>
    <row r="173" spans="1:24" x14ac:dyDescent="0.3">
      <c r="A173" s="62" t="s">
        <v>175</v>
      </c>
      <c r="B173" s="63" t="s">
        <v>73</v>
      </c>
      <c r="C173" s="63">
        <v>12</v>
      </c>
      <c r="D173" s="63">
        <v>72</v>
      </c>
      <c r="E173" s="26">
        <v>130</v>
      </c>
      <c r="G173" s="54">
        <v>43.07046920108229</v>
      </c>
      <c r="H173" s="28">
        <v>22637.838612088854</v>
      </c>
      <c r="I173" s="64">
        <v>19813.362020949389</v>
      </c>
    </row>
    <row r="174" spans="1:24" x14ac:dyDescent="0.3">
      <c r="A174" s="62" t="s">
        <v>175</v>
      </c>
      <c r="B174" s="63" t="s">
        <v>74</v>
      </c>
      <c r="C174" s="63">
        <v>16</v>
      </c>
      <c r="D174" s="63">
        <v>96</v>
      </c>
      <c r="E174" s="26">
        <v>160</v>
      </c>
      <c r="G174" s="54">
        <v>57.372964418593121</v>
      </c>
      <c r="H174" s="28">
        <v>30155.230098412547</v>
      </c>
      <c r="I174" s="64">
        <v>26394.124056905555</v>
      </c>
    </row>
    <row r="175" spans="1:24" x14ac:dyDescent="0.3">
      <c r="A175" s="62" t="s">
        <v>175</v>
      </c>
      <c r="B175" s="63" t="s">
        <v>75</v>
      </c>
      <c r="C175" s="63">
        <v>24</v>
      </c>
      <c r="D175" s="63">
        <v>144</v>
      </c>
      <c r="E175" s="26">
        <v>210</v>
      </c>
      <c r="G175" s="54">
        <v>85.937208966477314</v>
      </c>
      <c r="H175" s="28">
        <v>45168.597032780475</v>
      </c>
      <c r="I175" s="64">
        <v>39537.879150547662</v>
      </c>
    </row>
    <row r="176" spans="1:24" x14ac:dyDescent="0.3">
      <c r="A176" s="62" t="s">
        <v>175</v>
      </c>
      <c r="B176" s="63" t="s">
        <v>76</v>
      </c>
      <c r="C176" s="63">
        <v>32</v>
      </c>
      <c r="D176" s="63">
        <v>192</v>
      </c>
      <c r="E176" s="26">
        <v>270</v>
      </c>
      <c r="G176" s="54">
        <v>114.54219940149895</v>
      </c>
      <c r="H176" s="28">
        <v>60203.38000542784</v>
      </c>
      <c r="I176" s="64">
        <v>52699.403222459994</v>
      </c>
    </row>
    <row r="177" spans="1:9" x14ac:dyDescent="0.3">
      <c r="A177" s="62" t="s">
        <v>175</v>
      </c>
      <c r="B177" s="63" t="s">
        <v>81</v>
      </c>
      <c r="C177" s="63">
        <v>2</v>
      </c>
      <c r="D177" s="63">
        <v>16</v>
      </c>
      <c r="E177" s="26">
        <v>70</v>
      </c>
      <c r="G177" s="54">
        <v>7.9206725086611112</v>
      </c>
      <c r="H177" s="28">
        <v>4163.1054705522802</v>
      </c>
      <c r="I177" s="64">
        <v>3639.1332205183148</v>
      </c>
    </row>
    <row r="178" spans="1:9" x14ac:dyDescent="0.3">
      <c r="A178" s="62" t="s">
        <v>175</v>
      </c>
      <c r="B178" s="63" t="s">
        <v>82</v>
      </c>
      <c r="C178" s="63">
        <v>4</v>
      </c>
      <c r="D178" s="63">
        <v>32</v>
      </c>
      <c r="E178" s="26">
        <v>90</v>
      </c>
      <c r="G178" s="54">
        <v>15.63761558163494</v>
      </c>
      <c r="H178" s="28">
        <v>8219.1307497073249</v>
      </c>
      <c r="I178" s="64">
        <v>7189.4215496855031</v>
      </c>
    </row>
    <row r="179" spans="1:9" x14ac:dyDescent="0.3">
      <c r="A179" s="62" t="s">
        <v>175</v>
      </c>
      <c r="B179" s="63" t="s">
        <v>84</v>
      </c>
      <c r="C179" s="63">
        <v>8</v>
      </c>
      <c r="D179" s="63">
        <v>64</v>
      </c>
      <c r="E179" s="26">
        <v>130</v>
      </c>
      <c r="G179" s="54">
        <v>31.071501727582589</v>
      </c>
      <c r="H179" s="28">
        <v>16331.181308017411</v>
      </c>
      <c r="I179" s="64">
        <v>14289.998208019882</v>
      </c>
    </row>
    <row r="180" spans="1:9" x14ac:dyDescent="0.3">
      <c r="A180" s="62" t="s">
        <v>175</v>
      </c>
      <c r="B180" s="63" t="s">
        <v>86</v>
      </c>
      <c r="C180" s="63">
        <v>16</v>
      </c>
      <c r="D180" s="63">
        <v>128</v>
      </c>
      <c r="E180" s="26">
        <v>200</v>
      </c>
      <c r="G180" s="54">
        <v>61.898528132340452</v>
      </c>
      <c r="H180" s="28">
        <v>32533.866386358142</v>
      </c>
      <c r="I180" s="64">
        <v>28473.382546418419</v>
      </c>
    </row>
    <row r="181" spans="1:9" x14ac:dyDescent="0.3">
      <c r="A181" s="62" t="s">
        <v>175</v>
      </c>
      <c r="B181" s="63" t="s">
        <v>88</v>
      </c>
      <c r="C181" s="63">
        <v>32</v>
      </c>
      <c r="D181" s="63">
        <v>256</v>
      </c>
      <c r="E181" s="26">
        <v>340</v>
      </c>
      <c r="G181" s="54">
        <v>123.55258094185615</v>
      </c>
      <c r="H181" s="28">
        <v>64939.236543039595</v>
      </c>
      <c r="I181" s="64">
        <v>56840.151223215486</v>
      </c>
    </row>
    <row r="182" spans="1:9" x14ac:dyDescent="0.3">
      <c r="A182" s="62" t="s">
        <v>175</v>
      </c>
      <c r="B182" s="63" t="s">
        <v>108</v>
      </c>
      <c r="C182" s="63">
        <v>2</v>
      </c>
      <c r="D182" s="63">
        <v>24</v>
      </c>
      <c r="E182" s="26">
        <v>80</v>
      </c>
      <c r="G182" s="54">
        <v>9.052063437097944</v>
      </c>
      <c r="H182" s="28">
        <v>4757.76454253868</v>
      </c>
      <c r="I182" s="64">
        <v>4158.9478428965294</v>
      </c>
    </row>
    <row r="183" spans="1:9" x14ac:dyDescent="0.3">
      <c r="A183" s="62" t="s">
        <v>175</v>
      </c>
      <c r="B183" s="63" t="s">
        <v>109</v>
      </c>
      <c r="C183" s="63">
        <v>4</v>
      </c>
      <c r="D183" s="63">
        <v>48</v>
      </c>
      <c r="E183" s="26">
        <v>110</v>
      </c>
      <c r="G183" s="54">
        <v>17.900397438508605</v>
      </c>
      <c r="H183" s="28">
        <v>9408.4488936801226</v>
      </c>
      <c r="I183" s="64">
        <v>8229.0507944419351</v>
      </c>
    </row>
    <row r="184" spans="1:9" x14ac:dyDescent="0.3">
      <c r="A184" s="62" t="s">
        <v>175</v>
      </c>
      <c r="B184" s="63" t="s">
        <v>110</v>
      </c>
      <c r="C184" s="63">
        <v>6</v>
      </c>
      <c r="D184" s="63">
        <v>72</v>
      </c>
      <c r="E184" s="26">
        <v>130</v>
      </c>
      <c r="G184" s="54">
        <v>26.707985552781807</v>
      </c>
      <c r="H184" s="28">
        <v>14037.717206542118</v>
      </c>
      <c r="I184" s="64">
        <v>12281.384767717116</v>
      </c>
    </row>
    <row r="185" spans="1:9" x14ac:dyDescent="0.3">
      <c r="A185" s="62" t="s">
        <v>175</v>
      </c>
      <c r="B185" s="63" t="s">
        <v>111</v>
      </c>
      <c r="C185" s="63">
        <v>8</v>
      </c>
      <c r="D185" s="63">
        <v>96</v>
      </c>
      <c r="E185" s="26">
        <v>160</v>
      </c>
      <c r="G185" s="54">
        <v>35.55631955419247</v>
      </c>
      <c r="H185" s="28">
        <v>18688.401557683559</v>
      </c>
      <c r="I185" s="64">
        <v>16351.487719262517</v>
      </c>
    </row>
    <row r="186" spans="1:9" x14ac:dyDescent="0.3">
      <c r="A186" s="62" t="s">
        <v>175</v>
      </c>
      <c r="B186" s="63" t="s">
        <v>112</v>
      </c>
      <c r="C186" s="63">
        <v>12</v>
      </c>
      <c r="D186" s="63">
        <v>144</v>
      </c>
      <c r="E186" s="26">
        <v>210</v>
      </c>
      <c r="G186" s="54">
        <v>53.212241669876335</v>
      </c>
      <c r="H186" s="28">
        <v>27968.354221686997</v>
      </c>
      <c r="I186" s="64">
        <v>24473.924644083105</v>
      </c>
    </row>
    <row r="187" spans="1:9" x14ac:dyDescent="0.3">
      <c r="A187" s="62" t="s">
        <v>175</v>
      </c>
      <c r="B187" s="63" t="s">
        <v>113</v>
      </c>
      <c r="C187" s="63">
        <v>16</v>
      </c>
      <c r="D187" s="63">
        <v>192</v>
      </c>
      <c r="E187" s="26">
        <v>270</v>
      </c>
      <c r="G187" s="54">
        <v>70.908909672697646</v>
      </c>
      <c r="H187" s="28">
        <v>37269.722923969886</v>
      </c>
      <c r="I187" s="64">
        <v>32614.130547173914</v>
      </c>
    </row>
    <row r="188" spans="1:9" x14ac:dyDescent="0.3">
      <c r="A188" s="62" t="s">
        <v>175</v>
      </c>
      <c r="B188" s="63" t="s">
        <v>128</v>
      </c>
      <c r="C188" s="63">
        <v>4</v>
      </c>
      <c r="D188" s="63">
        <v>64</v>
      </c>
      <c r="E188" s="26">
        <v>130</v>
      </c>
      <c r="G188" s="54">
        <v>20.163179295382267</v>
      </c>
      <c r="H188" s="28">
        <v>10597.76703765292</v>
      </c>
      <c r="I188" s="64">
        <v>9268.6800391983652</v>
      </c>
    </row>
    <row r="189" spans="1:9" x14ac:dyDescent="0.3">
      <c r="A189" s="62" t="s">
        <v>175</v>
      </c>
      <c r="B189" s="63" t="s">
        <v>129</v>
      </c>
      <c r="C189" s="63">
        <v>8</v>
      </c>
      <c r="D189" s="63">
        <v>128</v>
      </c>
      <c r="E189" s="26">
        <v>200</v>
      </c>
      <c r="G189" s="54">
        <v>40.081883267939794</v>
      </c>
      <c r="H189" s="28">
        <v>21067.037845629155</v>
      </c>
      <c r="I189" s="64">
        <v>18430.746208775381</v>
      </c>
    </row>
    <row r="190" spans="1:9" x14ac:dyDescent="0.3">
      <c r="A190" s="62" t="s">
        <v>175</v>
      </c>
      <c r="B190" s="63" t="s">
        <v>130</v>
      </c>
      <c r="C190" s="63">
        <v>12</v>
      </c>
      <c r="D190" s="63">
        <v>192</v>
      </c>
      <c r="E190" s="26">
        <v>270</v>
      </c>
      <c r="G190" s="54">
        <v>60.000587240497318</v>
      </c>
      <c r="H190" s="28">
        <v>31536.308653605389</v>
      </c>
      <c r="I190" s="64">
        <v>27592.812378352392</v>
      </c>
    </row>
    <row r="191" spans="1:9" ht="15" thickBot="1" x14ac:dyDescent="0.35">
      <c r="A191" s="65" t="s">
        <v>175</v>
      </c>
      <c r="B191" s="66" t="s">
        <v>131</v>
      </c>
      <c r="C191" s="66">
        <v>16</v>
      </c>
      <c r="D191" s="66">
        <v>256</v>
      </c>
      <c r="E191" s="41">
        <v>340</v>
      </c>
      <c r="G191" s="55">
        <v>79.919291213054862</v>
      </c>
      <c r="H191" s="43">
        <v>42005.579461581634</v>
      </c>
      <c r="I191" s="67">
        <v>36754.878547929417</v>
      </c>
    </row>
  </sheetData>
  <mergeCells count="12">
    <mergeCell ref="G5:I5"/>
    <mergeCell ref="J5:L5"/>
    <mergeCell ref="M5:O5"/>
    <mergeCell ref="P5:R5"/>
    <mergeCell ref="S5:U5"/>
    <mergeCell ref="V5:X5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Sharma</dc:creator>
  <cp:lastModifiedBy>Pankaj Sharma</cp:lastModifiedBy>
  <dcterms:created xsi:type="dcterms:W3CDTF">2026-06-16T13:48:55Z</dcterms:created>
  <dcterms:modified xsi:type="dcterms:W3CDTF">2026-06-16T13:59:47Z</dcterms:modified>
</cp:coreProperties>
</file>